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054098.01 New 24 Lean Gas\12 - Discipline Folder\I - Instrumentation\9.SCHEDULES\"/>
    </mc:Choice>
  </mc:AlternateContent>
  <bookViews>
    <workbookView xWindow="0" yWindow="0" windowWidth="20490" windowHeight="7755" tabRatio="735" firstSheet="4" activeTab="4"/>
  </bookViews>
  <sheets>
    <sheet name="Progress Summary" sheetId="5" state="hidden" r:id="rId1"/>
    <sheet name="BACK UP S CURVE" sheetId="3" state="hidden" r:id="rId2"/>
    <sheet name="OVERALL-S-CURVE" sheetId="9" state="hidden" r:id="rId3"/>
    <sheet name="BACK SUMMARY" sheetId="6" state="hidden" r:id="rId4"/>
    <sheet name="Sheet1" sheetId="12" r:id="rId5"/>
  </sheets>
  <externalReferences>
    <externalReference r:id="rId6"/>
    <externalReference r:id="rId7"/>
  </externalReferences>
  <definedNames>
    <definedName name="a">#REF!</definedName>
    <definedName name="ACT" localSheetId="2">#REF!</definedName>
    <definedName name="ACT">#REF!</definedName>
    <definedName name="AF">#REF!</definedName>
    <definedName name="AREA" localSheetId="2">#REF!</definedName>
    <definedName name="AREA">#REF!</definedName>
    <definedName name="AS">#REF!</definedName>
    <definedName name="BC" localSheetId="2">'[1]#REF'!#REF!</definedName>
    <definedName name="BC">'[1]#REF'!#REF!</definedName>
    <definedName name="BQ" localSheetId="2">#REF!</definedName>
    <definedName name="BQ">#REF!</definedName>
    <definedName name="CUTOFF">'[2]DDR-MP21'!$BC$6</definedName>
    <definedName name="DEPT">#REF!</definedName>
    <definedName name="DI" localSheetId="2">'[1]#REF'!#REF!</definedName>
    <definedName name="DI">'[1]#REF'!#REF!</definedName>
    <definedName name="DKG" localSheetId="2">#REF!</definedName>
    <definedName name="DKG">#REF!</definedName>
    <definedName name="EF" localSheetId="2">#REF!</definedName>
    <definedName name="EF">#REF!</definedName>
    <definedName name="EFA" localSheetId="2">#REF!</definedName>
    <definedName name="EFA">#REF!</definedName>
    <definedName name="ES" localSheetId="2">#REF!</definedName>
    <definedName name="ES">#REF!</definedName>
    <definedName name="ESA" localSheetId="2">#REF!</definedName>
    <definedName name="ESA">#REF!</definedName>
    <definedName name="EXCL" localSheetId="2">#REF!</definedName>
    <definedName name="EXCL">#REF!</definedName>
    <definedName name="FIL" localSheetId="2">#REF!</definedName>
    <definedName name="FIL">#REF!</definedName>
    <definedName name="GRP" localSheetId="2">#REF!</definedName>
    <definedName name="GRP">#REF!</definedName>
    <definedName name="GRPG">#REF!</definedName>
    <definedName name="KS">#REF!</definedName>
    <definedName name="LO" localSheetId="2">'[1]#REF'!#REF!</definedName>
    <definedName name="LO">'[1]#REF'!#REF!</definedName>
    <definedName name="MACT" localSheetId="2">#REF!</definedName>
    <definedName name="MACT">#REF!</definedName>
    <definedName name="MFIL" localSheetId="2">#REF!</definedName>
    <definedName name="MFIL">#REF!</definedName>
    <definedName name="MHR">#REF!</definedName>
    <definedName name="MSYS" localSheetId="2">#REF!</definedName>
    <definedName name="MSYS">#REF!</definedName>
    <definedName name="MZON">#REF!</definedName>
    <definedName name="OD" localSheetId="2">#REF!</definedName>
    <definedName name="OD">#REF!</definedName>
    <definedName name="OS">#REF!</definedName>
    <definedName name="OSC" localSheetId="2">#REF!</definedName>
    <definedName name="OSC">#REF!</definedName>
    <definedName name="ouy">#REF!</definedName>
    <definedName name="PCT" localSheetId="2">#REF!</definedName>
    <definedName name="PCT">#REF!</definedName>
    <definedName name="PHAS" localSheetId="2">#REF!</definedName>
    <definedName name="PHAS">#REF!</definedName>
    <definedName name="PLFN" localSheetId="2">'[1]#REF'!#REF!</definedName>
    <definedName name="PLFN">'[1]#REF'!#REF!</definedName>
    <definedName name="PLST" localSheetId="2">'[1]#REF'!#REF!</definedName>
    <definedName name="PLST">'[1]#REF'!#REF!</definedName>
    <definedName name="PR" localSheetId="2">#REF!</definedName>
    <definedName name="PR">#REF!</definedName>
    <definedName name="_xlnm.Print_Area" localSheetId="3">'BACK SUMMARY'!$A$1:$F$13</definedName>
    <definedName name="_xlnm.Print_Area" localSheetId="2">'OVERALL-S-CURVE'!$B$2:$AR$56</definedName>
    <definedName name="_xlnm.Print_Area" localSheetId="0">'Progress Summary'!$B$2:$J$13</definedName>
    <definedName name="_xlnm.Print_Titles" localSheetId="0">'Progress Summary'!$2:$4</definedName>
    <definedName name="RES" localSheetId="2">#REF!</definedName>
    <definedName name="RES">#REF!</definedName>
    <definedName name="RID" localSheetId="2">#REF!</definedName>
    <definedName name="RID">#REF!</definedName>
    <definedName name="RUT" localSheetId="2">#REF!</definedName>
    <definedName name="RUT">#REF!</definedName>
    <definedName name="SBM" localSheetId="2">#REF!</definedName>
    <definedName name="SBM">#REF!</definedName>
    <definedName name="SC" localSheetId="2">'[1]#REF'!#REF!</definedName>
    <definedName name="SC">'[1]#REF'!#REF!</definedName>
    <definedName name="SCOP" localSheetId="2">#REF!</definedName>
    <definedName name="SCOP">#REF!</definedName>
    <definedName name="SN" localSheetId="2">'[1]#REF'!#REF!</definedName>
    <definedName name="SN">'[1]#REF'!#REF!</definedName>
    <definedName name="SP" localSheetId="2">#REF!</definedName>
    <definedName name="SP">#REF!</definedName>
    <definedName name="SSYS" localSheetId="2">#REF!</definedName>
    <definedName name="SSYS">#REF!</definedName>
    <definedName name="SUBM" localSheetId="2">'[1]#REF'!#REF!</definedName>
    <definedName name="SUBM">'[1]#REF'!#REF!</definedName>
    <definedName name="SY" localSheetId="2">'[1]#REF'!#REF!</definedName>
    <definedName name="SY">'[1]#REF'!#REF!</definedName>
    <definedName name="TID" localSheetId="2">#REF!</definedName>
    <definedName name="TID">#REF!</definedName>
    <definedName name="TITL">#REF!</definedName>
    <definedName name="TITLE" localSheetId="2">#REF!</definedName>
    <definedName name="TITLE">#REF!</definedName>
    <definedName name="TK" localSheetId="2">#REF!</definedName>
    <definedName name="TK">#REF!</definedName>
    <definedName name="UPT" localSheetId="2">#REF!</definedName>
    <definedName name="UPT">#REF!</definedName>
    <definedName name="WF" localSheetId="2">'[1]#REF'!#REF!</definedName>
    <definedName name="WF">'[1]#REF'!#REF!</definedName>
    <definedName name="WP" localSheetId="2">'[1]#REF'!#REF!</definedName>
    <definedName name="WP">'[1]#REF'!#REF!</definedName>
    <definedName name="WPKG">#REF!</definedName>
    <definedName name="ZONE">#REF!</definedName>
  </definedNames>
  <calcPr calcId="152511"/>
</workbook>
</file>

<file path=xl/calcChain.xml><?xml version="1.0" encoding="utf-8"?>
<calcChain xmlns="http://schemas.openxmlformats.org/spreadsheetml/2006/main">
  <c r="A5" i="6" l="1"/>
  <c r="A5" i="3" s="1"/>
  <c r="A6" i="6"/>
  <c r="A6" i="3" s="1"/>
  <c r="A7" i="6"/>
  <c r="A8" i="6"/>
  <c r="A9" i="6"/>
  <c r="A10" i="6"/>
  <c r="B10" i="5" s="1"/>
  <c r="A11" i="6"/>
  <c r="A12" i="6"/>
  <c r="AP2" i="9"/>
  <c r="E4" i="3"/>
  <c r="D40" i="3" s="1"/>
  <c r="D5" i="3"/>
  <c r="AK5" i="3"/>
  <c r="AK13" i="3" s="1"/>
  <c r="AK29" i="3" s="1"/>
  <c r="AJ55" i="9" s="1"/>
  <c r="AL5" i="3"/>
  <c r="AL13" i="3" s="1"/>
  <c r="AL29" i="3" s="1"/>
  <c r="AM5" i="3"/>
  <c r="AN5" i="3"/>
  <c r="AO5" i="3"/>
  <c r="AP5" i="3"/>
  <c r="AP13" i="3" s="1"/>
  <c r="AP29" i="3" s="1"/>
  <c r="AQ5" i="3"/>
  <c r="AR5" i="3"/>
  <c r="AS5" i="3"/>
  <c r="AS13" i="3" s="1"/>
  <c r="AS29" i="3" s="1"/>
  <c r="AT5" i="3"/>
  <c r="AT13" i="3" s="1"/>
  <c r="AT29" i="3" s="1"/>
  <c r="AU5" i="3"/>
  <c r="AV5" i="3"/>
  <c r="AW5" i="3"/>
  <c r="AW13" i="3" s="1"/>
  <c r="AW29" i="3" s="1"/>
  <c r="AX5" i="3"/>
  <c r="AX13" i="3" s="1"/>
  <c r="AX29" i="3" s="1"/>
  <c r="AY5" i="3"/>
  <c r="AZ5" i="3"/>
  <c r="BA5" i="3"/>
  <c r="BA13" i="3" s="1"/>
  <c r="BA29" i="3" s="1"/>
  <c r="BA28" i="3" s="1"/>
  <c r="BA51" i="3" s="1"/>
  <c r="BA49" i="3" s="1"/>
  <c r="BB5" i="3"/>
  <c r="BB13" i="3" s="1"/>
  <c r="BB29" i="3" s="1"/>
  <c r="BC5" i="3"/>
  <c r="BD5" i="3"/>
  <c r="BE5" i="3"/>
  <c r="BF5" i="3"/>
  <c r="BF13" i="3" s="1"/>
  <c r="BF29" i="3" s="1"/>
  <c r="BG5" i="3"/>
  <c r="BH5" i="3"/>
  <c r="BI5" i="3"/>
  <c r="BI13" i="3" s="1"/>
  <c r="BI29" i="3" s="1"/>
  <c r="BI28" i="3" s="1"/>
  <c r="BJ5" i="3"/>
  <c r="BJ13" i="3" s="1"/>
  <c r="BJ29" i="3" s="1"/>
  <c r="BK5" i="3"/>
  <c r="D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A7" i="3"/>
  <c r="D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A8" i="3"/>
  <c r="D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A9" i="3"/>
  <c r="D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D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A11" i="3"/>
  <c r="D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A12" i="3"/>
  <c r="D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D13" i="3"/>
  <c r="D29" i="3" s="1"/>
  <c r="D28" i="3" s="1"/>
  <c r="D51" i="3" s="1"/>
  <c r="D49" i="3" s="1"/>
  <c r="AM13" i="3"/>
  <c r="AM29" i="3" s="1"/>
  <c r="AN13" i="3"/>
  <c r="AO13" i="3"/>
  <c r="AO29" i="3" s="1"/>
  <c r="AN55" i="9" s="1"/>
  <c r="AQ13" i="3"/>
  <c r="AQ29" i="3" s="1"/>
  <c r="AR13" i="3"/>
  <c r="AU13" i="3"/>
  <c r="AU29" i="3" s="1"/>
  <c r="AV13" i="3"/>
  <c r="AY13" i="3"/>
  <c r="AY29" i="3" s="1"/>
  <c r="AZ13" i="3"/>
  <c r="AZ29" i="3" s="1"/>
  <c r="AZ28" i="3" s="1"/>
  <c r="AZ51" i="3" s="1"/>
  <c r="AZ49" i="3" s="1"/>
  <c r="BC13" i="3"/>
  <c r="BC29" i="3" s="1"/>
  <c r="BD13" i="3"/>
  <c r="BE13" i="3"/>
  <c r="BE29" i="3" s="1"/>
  <c r="BG13" i="3"/>
  <c r="BG29" i="3" s="1"/>
  <c r="BG28" i="3" s="1"/>
  <c r="BH13" i="3"/>
  <c r="BK13" i="3"/>
  <c r="BK29" i="3" s="1"/>
  <c r="E17" i="3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A20" i="3"/>
  <c r="A21" i="3"/>
  <c r="A22" i="3"/>
  <c r="A24" i="3"/>
  <c r="A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AN29" i="3"/>
  <c r="AM55" i="9" s="1"/>
  <c r="AR29" i="3"/>
  <c r="AQ55" i="9" s="1"/>
  <c r="AV29" i="3"/>
  <c r="BD29" i="3"/>
  <c r="BH29" i="3"/>
  <c r="D31" i="3"/>
  <c r="E31" i="3"/>
  <c r="F31" i="3"/>
  <c r="G31" i="3"/>
  <c r="H31" i="3"/>
  <c r="I31" i="3"/>
  <c r="J31" i="3"/>
  <c r="L41" i="3"/>
  <c r="M41" i="3"/>
  <c r="N43" i="3" s="1"/>
  <c r="N41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D53" i="3"/>
  <c r="A5" i="5"/>
  <c r="F5" i="5"/>
  <c r="F13" i="5" s="1"/>
  <c r="G5" i="5"/>
  <c r="I5" i="5" s="1"/>
  <c r="I13" i="5" s="1"/>
  <c r="A6" i="5"/>
  <c r="F6" i="5"/>
  <c r="H6" i="5" s="1"/>
  <c r="G6" i="5"/>
  <c r="I6" i="5" s="1"/>
  <c r="A7" i="5"/>
  <c r="B7" i="5"/>
  <c r="F7" i="5"/>
  <c r="H7" i="5" s="1"/>
  <c r="G7" i="5"/>
  <c r="I7" i="5" s="1"/>
  <c r="J7" i="5"/>
  <c r="A8" i="5"/>
  <c r="B8" i="5"/>
  <c r="F8" i="5"/>
  <c r="H8" i="5" s="1"/>
  <c r="G8" i="5"/>
  <c r="I8" i="5" s="1"/>
  <c r="A9" i="5"/>
  <c r="B9" i="5"/>
  <c r="F9" i="5"/>
  <c r="G9" i="5"/>
  <c r="I9" i="5" s="1"/>
  <c r="H9" i="5"/>
  <c r="A10" i="5"/>
  <c r="F10" i="5"/>
  <c r="H10" i="5" s="1"/>
  <c r="G10" i="5"/>
  <c r="I10" i="5" s="1"/>
  <c r="A11" i="5"/>
  <c r="B11" i="5"/>
  <c r="F11" i="5"/>
  <c r="G11" i="5"/>
  <c r="I11" i="5" s="1"/>
  <c r="H11" i="5"/>
  <c r="A12" i="5"/>
  <c r="B12" i="5"/>
  <c r="F12" i="5"/>
  <c r="H12" i="5" s="1"/>
  <c r="G12" i="5"/>
  <c r="I12" i="5" s="1"/>
  <c r="D13" i="5"/>
  <c r="E13" i="5"/>
  <c r="F8" i="6"/>
  <c r="G13" i="5"/>
  <c r="F7" i="6"/>
  <c r="B8" i="6"/>
  <c r="B8" i="3" s="1"/>
  <c r="B6" i="6"/>
  <c r="B5" i="6"/>
  <c r="B13" i="6" s="1"/>
  <c r="B7" i="6"/>
  <c r="B20" i="3" s="1"/>
  <c r="B10" i="6"/>
  <c r="B10" i="3" s="1"/>
  <c r="F11" i="6"/>
  <c r="B12" i="6"/>
  <c r="B25" i="3" s="1"/>
  <c r="B11" i="6"/>
  <c r="B24" i="3" s="1"/>
  <c r="B9" i="6"/>
  <c r="B22" i="3" s="1"/>
  <c r="E5" i="3"/>
  <c r="E13" i="3" s="1"/>
  <c r="H5" i="3"/>
  <c r="D6" i="6"/>
  <c r="D9" i="6"/>
  <c r="D10" i="6"/>
  <c r="F5" i="3"/>
  <c r="F13" i="3" s="1"/>
  <c r="F29" i="3" s="1"/>
  <c r="N5" i="3"/>
  <c r="N13" i="3" s="1"/>
  <c r="N29" i="3" s="1"/>
  <c r="V5" i="3"/>
  <c r="V13" i="3" s="1"/>
  <c r="AD5" i="3"/>
  <c r="AD13" i="3" s="1"/>
  <c r="AD29" i="3" s="1"/>
  <c r="AE5" i="3"/>
  <c r="AE13" i="3" s="1"/>
  <c r="W5" i="3"/>
  <c r="W13" i="3" s="1"/>
  <c r="W29" i="3" s="1"/>
  <c r="O5" i="3"/>
  <c r="O13" i="3" s="1"/>
  <c r="O29" i="3" s="1"/>
  <c r="G5" i="3"/>
  <c r="G13" i="3" s="1"/>
  <c r="G29" i="3" s="1"/>
  <c r="F5" i="6"/>
  <c r="F13" i="6" s="1"/>
  <c r="D5" i="6"/>
  <c r="D13" i="6" s="1"/>
  <c r="E14" i="6" s="1"/>
  <c r="B5" i="3"/>
  <c r="B13" i="3" s="1"/>
  <c r="C5" i="5"/>
  <c r="C13" i="5" s="1"/>
  <c r="P5" i="3"/>
  <c r="P13" i="3" s="1"/>
  <c r="P29" i="3" s="1"/>
  <c r="X5" i="3"/>
  <c r="X13" i="3" s="1"/>
  <c r="X29" i="3" s="1"/>
  <c r="W55" i="9" s="1"/>
  <c r="AF5" i="3"/>
  <c r="AF13" i="3" s="1"/>
  <c r="AF29" i="3" s="1"/>
  <c r="F12" i="6"/>
  <c r="D12" i="6"/>
  <c r="AG5" i="3"/>
  <c r="AG13" i="3" s="1"/>
  <c r="AG29" i="3" s="1"/>
  <c r="Y5" i="3"/>
  <c r="Y13" i="3" s="1"/>
  <c r="Y29" i="3" s="1"/>
  <c r="Q5" i="3"/>
  <c r="Q13" i="3" s="1"/>
  <c r="Q29" i="3" s="1"/>
  <c r="I5" i="3"/>
  <c r="AC5" i="3"/>
  <c r="AC13" i="3" s="1"/>
  <c r="AC29" i="3" s="1"/>
  <c r="U5" i="3"/>
  <c r="U13" i="3" s="1"/>
  <c r="U29" i="3" s="1"/>
  <c r="M5" i="3"/>
  <c r="M13" i="3" s="1"/>
  <c r="D11" i="6"/>
  <c r="B12" i="3"/>
  <c r="F6" i="6"/>
  <c r="F10" i="6"/>
  <c r="J5" i="3"/>
  <c r="J13" i="3" s="1"/>
  <c r="J29" i="3" s="1"/>
  <c r="R5" i="3"/>
  <c r="R13" i="3" s="1"/>
  <c r="Z5" i="3"/>
  <c r="Z13" i="3" s="1"/>
  <c r="Z29" i="3" s="1"/>
  <c r="AH5" i="3"/>
  <c r="AH13" i="3" s="1"/>
  <c r="AH29" i="3" s="1"/>
  <c r="AI5" i="3"/>
  <c r="AI13" i="3" s="1"/>
  <c r="AI29" i="3" s="1"/>
  <c r="AH55" i="9" s="1"/>
  <c r="AA5" i="3"/>
  <c r="S5" i="3"/>
  <c r="S13" i="3" s="1"/>
  <c r="S29" i="3" s="1"/>
  <c r="K5" i="3"/>
  <c r="L5" i="3"/>
  <c r="L13" i="3" s="1"/>
  <c r="L29" i="3" s="1"/>
  <c r="T5" i="3"/>
  <c r="AB5" i="3"/>
  <c r="AB13" i="3" s="1"/>
  <c r="AB29" i="3" s="1"/>
  <c r="AJ5" i="3"/>
  <c r="F9" i="6"/>
  <c r="F9" i="3"/>
  <c r="H9" i="3"/>
  <c r="J9" i="3"/>
  <c r="L9" i="3"/>
  <c r="N9" i="3"/>
  <c r="P9" i="3"/>
  <c r="R9" i="3"/>
  <c r="T9" i="3"/>
  <c r="V9" i="3"/>
  <c r="X9" i="3"/>
  <c r="Z9" i="3"/>
  <c r="AB9" i="3"/>
  <c r="AD9" i="3"/>
  <c r="AF9" i="3"/>
  <c r="AH9" i="3"/>
  <c r="AJ9" i="3"/>
  <c r="E9" i="3"/>
  <c r="G9" i="3"/>
  <c r="I9" i="3"/>
  <c r="K9" i="3"/>
  <c r="M9" i="3"/>
  <c r="O9" i="3"/>
  <c r="Q9" i="3"/>
  <c r="S9" i="3"/>
  <c r="U9" i="3"/>
  <c r="W9" i="3"/>
  <c r="Y9" i="3"/>
  <c r="AA9" i="3"/>
  <c r="AC9" i="3"/>
  <c r="AE9" i="3"/>
  <c r="AG9" i="3"/>
  <c r="AI9" i="3"/>
  <c r="F12" i="3"/>
  <c r="H12" i="3"/>
  <c r="J12" i="3"/>
  <c r="L12" i="3"/>
  <c r="N12" i="3"/>
  <c r="P12" i="3"/>
  <c r="R12" i="3"/>
  <c r="T12" i="3"/>
  <c r="V12" i="3"/>
  <c r="X12" i="3"/>
  <c r="Z12" i="3"/>
  <c r="AB12" i="3"/>
  <c r="AD12" i="3"/>
  <c r="AF12" i="3"/>
  <c r="AH12" i="3"/>
  <c r="AJ12" i="3"/>
  <c r="E12" i="3"/>
  <c r="G12" i="3"/>
  <c r="I12" i="3"/>
  <c r="K12" i="3"/>
  <c r="M12" i="3"/>
  <c r="O12" i="3"/>
  <c r="Q12" i="3"/>
  <c r="S12" i="3"/>
  <c r="U12" i="3"/>
  <c r="W12" i="3"/>
  <c r="Y12" i="3"/>
  <c r="AA12" i="3"/>
  <c r="AC12" i="3"/>
  <c r="AE12" i="3"/>
  <c r="AG12" i="3"/>
  <c r="AI12" i="3"/>
  <c r="F11" i="3"/>
  <c r="H11" i="3"/>
  <c r="J11" i="3"/>
  <c r="L11" i="3"/>
  <c r="N11" i="3"/>
  <c r="P11" i="3"/>
  <c r="R11" i="3"/>
  <c r="T11" i="3"/>
  <c r="V11" i="3"/>
  <c r="X11" i="3"/>
  <c r="Z11" i="3"/>
  <c r="AB11" i="3"/>
  <c r="AD11" i="3"/>
  <c r="AF11" i="3"/>
  <c r="AH11" i="3"/>
  <c r="AJ11" i="3"/>
  <c r="E11" i="3"/>
  <c r="G11" i="3"/>
  <c r="I11" i="3"/>
  <c r="K11" i="3"/>
  <c r="M11" i="3"/>
  <c r="O11" i="3"/>
  <c r="Q11" i="3"/>
  <c r="S11" i="3"/>
  <c r="U11" i="3"/>
  <c r="W11" i="3"/>
  <c r="Y11" i="3"/>
  <c r="AA11" i="3"/>
  <c r="AC11" i="3"/>
  <c r="AE11" i="3"/>
  <c r="AG11" i="3"/>
  <c r="AI11" i="3"/>
  <c r="E10" i="3"/>
  <c r="G10" i="3"/>
  <c r="I10" i="3"/>
  <c r="K10" i="3"/>
  <c r="M10" i="3"/>
  <c r="O10" i="3"/>
  <c r="Q10" i="3"/>
  <c r="S10" i="3"/>
  <c r="U10" i="3"/>
  <c r="W10" i="3"/>
  <c r="Y10" i="3"/>
  <c r="AA10" i="3"/>
  <c r="AC10" i="3"/>
  <c r="AE10" i="3"/>
  <c r="AG10" i="3"/>
  <c r="AI10" i="3"/>
  <c r="F10" i="3"/>
  <c r="H10" i="3"/>
  <c r="J10" i="3"/>
  <c r="L10" i="3"/>
  <c r="N10" i="3"/>
  <c r="P10" i="3"/>
  <c r="R10" i="3"/>
  <c r="T10" i="3"/>
  <c r="V10" i="3"/>
  <c r="X10" i="3"/>
  <c r="Z10" i="3"/>
  <c r="AB10" i="3"/>
  <c r="AD10" i="3"/>
  <c r="AF10" i="3"/>
  <c r="AH10" i="3"/>
  <c r="AJ10" i="3"/>
  <c r="AJ6" i="3"/>
  <c r="AF6" i="3"/>
  <c r="AB6" i="3"/>
  <c r="X6" i="3"/>
  <c r="T6" i="3"/>
  <c r="P6" i="3"/>
  <c r="L6" i="3"/>
  <c r="H6" i="3"/>
  <c r="AI6" i="3"/>
  <c r="AE6" i="3"/>
  <c r="AA6" i="3"/>
  <c r="W6" i="3"/>
  <c r="S6" i="3"/>
  <c r="O6" i="3"/>
  <c r="K6" i="3"/>
  <c r="G6" i="3"/>
  <c r="AH6" i="3"/>
  <c r="AD6" i="3"/>
  <c r="Z6" i="3"/>
  <c r="V6" i="3"/>
  <c r="R6" i="3"/>
  <c r="N6" i="3"/>
  <c r="J6" i="3"/>
  <c r="F6" i="3"/>
  <c r="AG6" i="3"/>
  <c r="AC6" i="3"/>
  <c r="Y6" i="3"/>
  <c r="U6" i="3"/>
  <c r="Q6" i="3"/>
  <c r="M6" i="3"/>
  <c r="I6" i="3"/>
  <c r="E6" i="3"/>
  <c r="AF8" i="3"/>
  <c r="AF7" i="3"/>
  <c r="X7" i="3"/>
  <c r="X8" i="3"/>
  <c r="P8" i="3"/>
  <c r="P7" i="3"/>
  <c r="H8" i="3"/>
  <c r="H7" i="3"/>
  <c r="AD7" i="3"/>
  <c r="AD8" i="3"/>
  <c r="V7" i="3"/>
  <c r="V8" i="3"/>
  <c r="N7" i="3"/>
  <c r="N8" i="3"/>
  <c r="F8" i="3"/>
  <c r="F7" i="3"/>
  <c r="AG8" i="3"/>
  <c r="AG7" i="3"/>
  <c r="AC7" i="3"/>
  <c r="AC8" i="3"/>
  <c r="Y7" i="3"/>
  <c r="Y8" i="3"/>
  <c r="U8" i="3"/>
  <c r="U7" i="3"/>
  <c r="Q8" i="3"/>
  <c r="Q7" i="3"/>
  <c r="M7" i="3"/>
  <c r="M8" i="3"/>
  <c r="I7" i="3"/>
  <c r="I8" i="3"/>
  <c r="E7" i="3"/>
  <c r="E8" i="3"/>
  <c r="I13" i="3"/>
  <c r="E41" i="3" s="1"/>
  <c r="H13" i="3"/>
  <c r="H29" i="3" s="1"/>
  <c r="AJ8" i="3"/>
  <c r="AJ7" i="3"/>
  <c r="AB7" i="3"/>
  <c r="AB8" i="3"/>
  <c r="T8" i="3"/>
  <c r="T7" i="3"/>
  <c r="L7" i="3"/>
  <c r="L8" i="3"/>
  <c r="AH7" i="3"/>
  <c r="AH8" i="3"/>
  <c r="Z8" i="3"/>
  <c r="Z7" i="3"/>
  <c r="R7" i="3"/>
  <c r="R8" i="3"/>
  <c r="J8" i="3"/>
  <c r="J7" i="3"/>
  <c r="D7" i="6"/>
  <c r="D8" i="6"/>
  <c r="AI7" i="3"/>
  <c r="AI8" i="3"/>
  <c r="AE7" i="3"/>
  <c r="AE8" i="3"/>
  <c r="AA8" i="3"/>
  <c r="AA7" i="3"/>
  <c r="W8" i="3"/>
  <c r="W7" i="3"/>
  <c r="S7" i="3"/>
  <c r="S8" i="3"/>
  <c r="O7" i="3"/>
  <c r="O8" i="3"/>
  <c r="K8" i="3"/>
  <c r="K7" i="3"/>
  <c r="G8" i="3"/>
  <c r="G7" i="3"/>
  <c r="K13" i="3"/>
  <c r="K29" i="3" s="1"/>
  <c r="J55" i="9" s="1"/>
  <c r="AA13" i="3"/>
  <c r="AA29" i="3" s="1"/>
  <c r="Z55" i="9" s="1"/>
  <c r="T13" i="3"/>
  <c r="T29" i="3" s="1"/>
  <c r="S55" i="9" s="1"/>
  <c r="AJ13" i="3"/>
  <c r="AJ29" i="3" s="1"/>
  <c r="C10" i="5"/>
  <c r="B18" i="3"/>
  <c r="B26" i="3" s="1"/>
  <c r="J9" i="5"/>
  <c r="B19" i="3"/>
  <c r="B6" i="3"/>
  <c r="C6" i="5"/>
  <c r="F4" i="3"/>
  <c r="E53" i="9" s="1"/>
  <c r="G4" i="3"/>
  <c r="H4" i="3" s="1"/>
  <c r="BE28" i="3" l="1"/>
  <c r="BE51" i="3" s="1"/>
  <c r="BE49" i="3" s="1"/>
  <c r="B7" i="3"/>
  <c r="B23" i="3"/>
  <c r="AW28" i="3"/>
  <c r="AW51" i="3" s="1"/>
  <c r="AW49" i="3" s="1"/>
  <c r="BH28" i="3"/>
  <c r="J11" i="5"/>
  <c r="BJ28" i="3"/>
  <c r="BF28" i="3"/>
  <c r="BF51" i="3" s="1"/>
  <c r="BF49" i="3" s="1"/>
  <c r="BB28" i="3"/>
  <c r="BB51" i="3" s="1"/>
  <c r="BB49" i="3" s="1"/>
  <c r="AX28" i="3"/>
  <c r="AX51" i="3" s="1"/>
  <c r="AX49" i="3" s="1"/>
  <c r="AT28" i="3"/>
  <c r="AT51" i="3" s="1"/>
  <c r="AT49" i="3" s="1"/>
  <c r="M29" i="3"/>
  <c r="L55" i="9" s="1"/>
  <c r="F41" i="3"/>
  <c r="F43" i="3" s="1"/>
  <c r="G53" i="9"/>
  <c r="I4" i="3"/>
  <c r="BK28" i="3"/>
  <c r="AU28" i="3"/>
  <c r="AU51" i="3" s="1"/>
  <c r="AU49" i="3" s="1"/>
  <c r="AV28" i="3"/>
  <c r="AV51" i="3" s="1"/>
  <c r="AV49" i="3" s="1"/>
  <c r="C6" i="6"/>
  <c r="C10" i="6"/>
  <c r="C12" i="6"/>
  <c r="C5" i="6"/>
  <c r="C9" i="6"/>
  <c r="AY28" i="3"/>
  <c r="AY51" i="3" s="1"/>
  <c r="AY49" i="3" s="1"/>
  <c r="BC28" i="3"/>
  <c r="BC51" i="3" s="1"/>
  <c r="BC49" i="3" s="1"/>
  <c r="BD28" i="3"/>
  <c r="BD51" i="3" s="1"/>
  <c r="BD49" i="3" s="1"/>
  <c r="AL55" i="9"/>
  <c r="AM28" i="3"/>
  <c r="AM51" i="3" s="1"/>
  <c r="AM49" i="3" s="1"/>
  <c r="AN28" i="3"/>
  <c r="AN51" i="3" s="1"/>
  <c r="AN49" i="3" s="1"/>
  <c r="AQ28" i="3"/>
  <c r="AQ51" i="3" s="1"/>
  <c r="AQ49" i="3" s="1"/>
  <c r="AP55" i="9"/>
  <c r="AO55" i="9"/>
  <c r="AO54" i="9" s="1"/>
  <c r="AP28" i="3"/>
  <c r="AP51" i="3" s="1"/>
  <c r="AP49" i="3" s="1"/>
  <c r="AK55" i="9"/>
  <c r="AL28" i="3"/>
  <c r="AL51" i="3" s="1"/>
  <c r="AL49" i="3" s="1"/>
  <c r="F53" i="9"/>
  <c r="AR28" i="3"/>
  <c r="AR51" i="3" s="1"/>
  <c r="AR49" i="3" s="1"/>
  <c r="C7" i="6"/>
  <c r="C20" i="3" s="1"/>
  <c r="B21" i="3"/>
  <c r="C11" i="5"/>
  <c r="J12" i="5"/>
  <c r="B6" i="5"/>
  <c r="A23" i="3"/>
  <c r="A19" i="3"/>
  <c r="A10" i="3"/>
  <c r="C7" i="5"/>
  <c r="C8" i="5"/>
  <c r="C11" i="6"/>
  <c r="AS28" i="3"/>
  <c r="AS51" i="3" s="1"/>
  <c r="AS49" i="3" s="1"/>
  <c r="J10" i="5"/>
  <c r="M43" i="3"/>
  <c r="D53" i="9"/>
  <c r="AN54" i="9"/>
  <c r="C8" i="6"/>
  <c r="AO28" i="3"/>
  <c r="AO51" i="3" s="1"/>
  <c r="AO49" i="3" s="1"/>
  <c r="J8" i="5"/>
  <c r="J5" i="5"/>
  <c r="J13" i="5" s="1"/>
  <c r="R29" i="3"/>
  <c r="Q55" i="9" s="1"/>
  <c r="G41" i="3"/>
  <c r="G43" i="3" s="1"/>
  <c r="K41" i="3"/>
  <c r="L43" i="3" s="1"/>
  <c r="AQ54" i="9"/>
  <c r="AK54" i="9"/>
  <c r="C9" i="5"/>
  <c r="B5" i="5"/>
  <c r="A18" i="3"/>
  <c r="H28" i="3"/>
  <c r="H51" i="3" s="1"/>
  <c r="H49" i="3" s="1"/>
  <c r="G55" i="9"/>
  <c r="AE29" i="3"/>
  <c r="AD55" i="9" s="1"/>
  <c r="J41" i="3"/>
  <c r="H41" i="3"/>
  <c r="H43" i="3" s="1"/>
  <c r="V29" i="3"/>
  <c r="U55" i="9" s="1"/>
  <c r="D41" i="3"/>
  <c r="D43" i="3" s="1"/>
  <c r="E29" i="3"/>
  <c r="F28" i="3" s="1"/>
  <c r="F51" i="3" s="1"/>
  <c r="F49" i="3" s="1"/>
  <c r="E40" i="3"/>
  <c r="C7" i="3"/>
  <c r="I41" i="3"/>
  <c r="I43" i="3" s="1"/>
  <c r="I29" i="3"/>
  <c r="J28" i="3" s="1"/>
  <c r="J51" i="3" s="1"/>
  <c r="J49" i="3" s="1"/>
  <c r="C12" i="5"/>
  <c r="B9" i="3"/>
  <c r="B11" i="3"/>
  <c r="J6" i="5"/>
  <c r="H5" i="5"/>
  <c r="H13" i="5" s="1"/>
  <c r="AI55" i="9"/>
  <c r="AI54" i="9" s="1"/>
  <c r="AJ28" i="3"/>
  <c r="AJ51" i="3" s="1"/>
  <c r="AJ49" i="3" s="1"/>
  <c r="AK28" i="3"/>
  <c r="AK51" i="3" s="1"/>
  <c r="AK49" i="3" s="1"/>
  <c r="AA55" i="9"/>
  <c r="AA54" i="9" s="1"/>
  <c r="AB28" i="3"/>
  <c r="AB51" i="3" s="1"/>
  <c r="AB49" i="3" s="1"/>
  <c r="S28" i="3"/>
  <c r="S51" i="3" s="1"/>
  <c r="S49" i="3" s="1"/>
  <c r="R55" i="9"/>
  <c r="R54" i="9" s="1"/>
  <c r="T28" i="3"/>
  <c r="T51" i="3" s="1"/>
  <c r="T49" i="3" s="1"/>
  <c r="Y55" i="9"/>
  <c r="AA28" i="3"/>
  <c r="AA51" i="3" s="1"/>
  <c r="AA49" i="3" s="1"/>
  <c r="Z28" i="3"/>
  <c r="Z51" i="3" s="1"/>
  <c r="Z49" i="3" s="1"/>
  <c r="I55" i="9"/>
  <c r="K28" i="3"/>
  <c r="K51" i="3" s="1"/>
  <c r="K49" i="3" s="1"/>
  <c r="U28" i="3"/>
  <c r="U51" i="3" s="1"/>
  <c r="U49" i="3" s="1"/>
  <c r="T55" i="9"/>
  <c r="T54" i="9" s="1"/>
  <c r="AB55" i="9"/>
  <c r="AB54" i="9" s="1"/>
  <c r="AC28" i="3"/>
  <c r="AC51" i="3" s="1"/>
  <c r="AC49" i="3" s="1"/>
  <c r="P55" i="9"/>
  <c r="Q54" i="9" s="1"/>
  <c r="Q28" i="3"/>
  <c r="Q51" i="3" s="1"/>
  <c r="Q49" i="3" s="1"/>
  <c r="R28" i="3"/>
  <c r="R51" i="3" s="1"/>
  <c r="R49" i="3" s="1"/>
  <c r="Y28" i="3"/>
  <c r="Y51" i="3" s="1"/>
  <c r="Y49" i="3" s="1"/>
  <c r="X55" i="9"/>
  <c r="X54" i="9" s="1"/>
  <c r="AG28" i="3"/>
  <c r="AG51" i="3" s="1"/>
  <c r="AG49" i="3" s="1"/>
  <c r="AF55" i="9"/>
  <c r="O55" i="9"/>
  <c r="P28" i="3"/>
  <c r="P51" i="3" s="1"/>
  <c r="P49" i="3" s="1"/>
  <c r="K55" i="9"/>
  <c r="L28" i="3"/>
  <c r="L51" i="3" s="1"/>
  <c r="L49" i="3" s="1"/>
  <c r="AH28" i="3"/>
  <c r="AH51" i="3" s="1"/>
  <c r="AH49" i="3" s="1"/>
  <c r="AG55" i="9"/>
  <c r="AI28" i="3"/>
  <c r="AI51" i="3" s="1"/>
  <c r="AI49" i="3" s="1"/>
  <c r="AE55" i="9"/>
  <c r="AE54" i="9" s="1"/>
  <c r="G28" i="3"/>
  <c r="G51" i="3" s="1"/>
  <c r="G49" i="3" s="1"/>
  <c r="F55" i="9"/>
  <c r="N55" i="9"/>
  <c r="O28" i="3"/>
  <c r="O51" i="3" s="1"/>
  <c r="O49" i="3" s="1"/>
  <c r="W28" i="3"/>
  <c r="W51" i="3" s="1"/>
  <c r="W49" i="3" s="1"/>
  <c r="X28" i="3"/>
  <c r="X51" i="3" s="1"/>
  <c r="X49" i="3" s="1"/>
  <c r="V55" i="9"/>
  <c r="AD28" i="3"/>
  <c r="AD51" i="3" s="1"/>
  <c r="AD49" i="3" s="1"/>
  <c r="AC55" i="9"/>
  <c r="M55" i="9"/>
  <c r="N28" i="3"/>
  <c r="N51" i="3" s="1"/>
  <c r="N49" i="3" s="1"/>
  <c r="E55" i="9"/>
  <c r="S54" i="9"/>
  <c r="AJ54" i="9"/>
  <c r="M54" i="9" l="1"/>
  <c r="AF28" i="3"/>
  <c r="AF51" i="3" s="1"/>
  <c r="AF49" i="3" s="1"/>
  <c r="M28" i="3"/>
  <c r="M51" i="3" s="1"/>
  <c r="M49" i="3" s="1"/>
  <c r="AL54" i="9"/>
  <c r="AE28" i="3"/>
  <c r="AE51" i="3" s="1"/>
  <c r="AE49" i="3" s="1"/>
  <c r="E43" i="3"/>
  <c r="U54" i="9"/>
  <c r="C21" i="3"/>
  <c r="C8" i="3"/>
  <c r="C5" i="3"/>
  <c r="C13" i="3" s="1"/>
  <c r="C18" i="3"/>
  <c r="C26" i="3" s="1"/>
  <c r="C13" i="6"/>
  <c r="H53" i="9"/>
  <c r="J4" i="3"/>
  <c r="C12" i="3"/>
  <c r="C25" i="3"/>
  <c r="V28" i="3"/>
  <c r="V51" i="3" s="1"/>
  <c r="V49" i="3" s="1"/>
  <c r="C24" i="3"/>
  <c r="C11" i="3"/>
  <c r="C10" i="3"/>
  <c r="C23" i="3"/>
  <c r="AP54" i="9"/>
  <c r="C22" i="3"/>
  <c r="C9" i="3"/>
  <c r="C6" i="3"/>
  <c r="C19" i="3"/>
  <c r="AM54" i="9"/>
  <c r="I28" i="3"/>
  <c r="I51" i="3" s="1"/>
  <c r="I49" i="3" s="1"/>
  <c r="H55" i="9"/>
  <c r="H54" i="9" s="1"/>
  <c r="E28" i="3"/>
  <c r="E51" i="3" s="1"/>
  <c r="E49" i="3" s="1"/>
  <c r="D55" i="9"/>
  <c r="D54" i="9"/>
  <c r="J43" i="3"/>
  <c r="K43" i="3"/>
  <c r="E54" i="9"/>
  <c r="G54" i="9"/>
  <c r="F54" i="9"/>
  <c r="Z54" i="9"/>
  <c r="Y54" i="9"/>
  <c r="O54" i="9"/>
  <c r="AC54" i="9"/>
  <c r="AD54" i="9"/>
  <c r="V54" i="9"/>
  <c r="W54" i="9"/>
  <c r="AH54" i="9"/>
  <c r="AG54" i="9"/>
  <c r="L54" i="9"/>
  <c r="K54" i="9"/>
  <c r="J54" i="9"/>
  <c r="N54" i="9"/>
  <c r="AF54" i="9"/>
  <c r="P54" i="9"/>
  <c r="I54" i="9" l="1"/>
  <c r="K4" i="3"/>
  <c r="I53" i="9"/>
  <c r="L4" i="3" l="1"/>
  <c r="J53" i="9"/>
  <c r="M4" i="3" l="1"/>
  <c r="K53" i="9"/>
  <c r="F40" i="3" l="1"/>
  <c r="L53" i="9"/>
  <c r="N4" i="3"/>
  <c r="M53" i="9" l="1"/>
  <c r="O4" i="3"/>
  <c r="P4" i="3" l="1"/>
  <c r="N53" i="9"/>
  <c r="Q4" i="3" l="1"/>
  <c r="O53" i="9"/>
  <c r="P53" i="9" l="1"/>
  <c r="R4" i="3"/>
  <c r="Q53" i="9" l="1"/>
  <c r="G40" i="3"/>
  <c r="S4" i="3"/>
  <c r="R53" i="9" l="1"/>
  <c r="T4" i="3"/>
  <c r="S53" i="9" l="1"/>
  <c r="U4" i="3"/>
  <c r="T53" i="9" l="1"/>
  <c r="V4" i="3"/>
  <c r="W4" i="3" l="1"/>
  <c r="H40" i="3"/>
  <c r="U53" i="9"/>
  <c r="V53" i="9" l="1"/>
  <c r="X4" i="3"/>
  <c r="Y4" i="3" l="1"/>
  <c r="W53" i="9"/>
  <c r="Z4" i="3" l="1"/>
  <c r="X53" i="9"/>
  <c r="AA4" i="3" l="1"/>
  <c r="Y53" i="9"/>
  <c r="Z53" i="9" l="1"/>
  <c r="I40" i="3"/>
  <c r="AB4" i="3"/>
  <c r="AA53" i="9" l="1"/>
  <c r="AC4" i="3"/>
  <c r="AB53" i="9" l="1"/>
  <c r="AD4" i="3"/>
  <c r="AE4" i="3" l="1"/>
  <c r="AC53" i="9"/>
  <c r="AF4" i="3" l="1"/>
  <c r="AD53" i="9"/>
  <c r="J40" i="3"/>
  <c r="AG4" i="3" l="1"/>
  <c r="AE53" i="9"/>
  <c r="AH4" i="3" l="1"/>
  <c r="AF53" i="9"/>
  <c r="AG53" i="9" l="1"/>
  <c r="AI4" i="3"/>
  <c r="AH53" i="9" l="1"/>
  <c r="K40" i="3"/>
  <c r="AJ4" i="3"/>
  <c r="AI53" i="9" l="1"/>
  <c r="AK4" i="3"/>
  <c r="AJ53" i="9" l="1"/>
  <c r="AL4" i="3"/>
  <c r="AM4" i="3" l="1"/>
  <c r="AK53" i="9"/>
  <c r="AN4" i="3" l="1"/>
  <c r="AL53" i="9"/>
  <c r="L40" i="3" l="1"/>
  <c r="AM53" i="9"/>
  <c r="AO4" i="3"/>
  <c r="AP4" i="3" l="1"/>
  <c r="AN53" i="9"/>
  <c r="AQ4" i="3" l="1"/>
  <c r="AO53" i="9"/>
  <c r="AR4" i="3" l="1"/>
  <c r="AP53" i="9"/>
  <c r="AQ53" i="9" l="1"/>
  <c r="AS4" i="3"/>
  <c r="AT4" i="3" s="1"/>
  <c r="AU4" i="3" s="1"/>
  <c r="AV4" i="3" s="1"/>
  <c r="M40" i="3"/>
  <c r="AW4" i="3" l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N40" i="3"/>
</calcChain>
</file>

<file path=xl/sharedStrings.xml><?xml version="1.0" encoding="utf-8"?>
<sst xmlns="http://schemas.openxmlformats.org/spreadsheetml/2006/main" count="326" uniqueCount="289">
  <si>
    <t>Forecast</t>
  </si>
  <si>
    <t>Forecast - Cumulative</t>
  </si>
  <si>
    <t>Frecast Weekly -</t>
  </si>
  <si>
    <t>Manhours Planned</t>
  </si>
  <si>
    <t>Actual Manhours</t>
  </si>
  <si>
    <t>Forecast Manhours</t>
  </si>
  <si>
    <t>Actual</t>
  </si>
  <si>
    <t>Plan - Weekly</t>
  </si>
  <si>
    <t>Actual - Weekly</t>
  </si>
  <si>
    <t>Plan - Cumulative</t>
  </si>
  <si>
    <t>Actual - Cumulative</t>
  </si>
  <si>
    <t>Weightings</t>
  </si>
  <si>
    <t>% Progress</t>
  </si>
  <si>
    <t>Last Week %</t>
  </si>
  <si>
    <t>This Week %</t>
  </si>
  <si>
    <t>Cumulative</t>
  </si>
  <si>
    <t>Category Description</t>
  </si>
  <si>
    <t>TOTAL</t>
  </si>
  <si>
    <t>Weighting (%)</t>
  </si>
  <si>
    <t>CTR</t>
  </si>
  <si>
    <t>FORECAST</t>
  </si>
  <si>
    <t>PLAN</t>
  </si>
  <si>
    <t>ACTUAL</t>
  </si>
  <si>
    <t xml:space="preserve"> Plan</t>
  </si>
  <si>
    <t xml:space="preserve"> Overall
Variance %</t>
  </si>
  <si>
    <t>Date / week</t>
  </si>
  <si>
    <t>WBS</t>
  </si>
  <si>
    <t>DESCRIPTION</t>
  </si>
  <si>
    <t xml:space="preserve"> </t>
  </si>
  <si>
    <t>Over All Plan % Per Month</t>
  </si>
  <si>
    <t>Commulative Overall % per Month</t>
  </si>
  <si>
    <t>EPC WORKS FOR PROVISION OF NEW 24” LEAN GAS PIPELINE FROM BUHASA TO BAB &amp; BAB TO THAMMAMA</t>
  </si>
  <si>
    <t>OVERALL PROGRESS 'S' CURVE</t>
  </si>
  <si>
    <t>BUHASA</t>
  </si>
  <si>
    <t>BAB MANIFOLD</t>
  </si>
  <si>
    <t>THAMMAMA C</t>
  </si>
  <si>
    <t>S. No.</t>
  </si>
  <si>
    <t>Number of AI</t>
  </si>
  <si>
    <t>Number of DI</t>
  </si>
  <si>
    <t>Number of AO</t>
  </si>
  <si>
    <t>Number of DO</t>
  </si>
  <si>
    <t>SECTIONALIZING VALVE STATION (SV-1)</t>
  </si>
  <si>
    <t>SECTIONALIZING VALVE STATION (SV-2)</t>
  </si>
  <si>
    <t>SECTIONALIZING VALVE STATION (SV-3)</t>
  </si>
  <si>
    <t>584-PIT-311</t>
  </si>
  <si>
    <t>584-PDIT-311</t>
  </si>
  <si>
    <t>584-TIT-311</t>
  </si>
  <si>
    <t>584-ZS-311</t>
  </si>
  <si>
    <t>584-RZSO-301A</t>
  </si>
  <si>
    <t>584-RZSO-301B</t>
  </si>
  <si>
    <t>584-RZSC-301</t>
  </si>
  <si>
    <t>584-IT-316A</t>
  </si>
  <si>
    <t>584-RSOV-301A</t>
  </si>
  <si>
    <t>584-RSOV-301B</t>
  </si>
  <si>
    <t>584-XS-301</t>
  </si>
  <si>
    <t>584-XS-302</t>
  </si>
  <si>
    <t>584-TSH-303</t>
  </si>
  <si>
    <t>584-XS-304</t>
  </si>
  <si>
    <t>584-ESH-310A</t>
  </si>
  <si>
    <t>584-ESH-311A</t>
  </si>
  <si>
    <t>584-ESL-312A</t>
  </si>
  <si>
    <t>584-IT-316B</t>
  </si>
  <si>
    <t>584-ESL-313A</t>
  </si>
  <si>
    <t>584-XS-314</t>
  </si>
  <si>
    <t>584-XS-315A</t>
  </si>
  <si>
    <t>584-XS-315B</t>
  </si>
  <si>
    <t>584-ESH-310B</t>
  </si>
  <si>
    <t>584-ESH-311B</t>
  </si>
  <si>
    <t>584-ESL-312B</t>
  </si>
  <si>
    <t>584-ESL-313B</t>
  </si>
  <si>
    <t>584-TSH-317</t>
  </si>
  <si>
    <t>584-XS-318</t>
  </si>
  <si>
    <t>584-XS-319</t>
  </si>
  <si>
    <t>584-TSH-320</t>
  </si>
  <si>
    <t>584-XS-321</t>
  </si>
  <si>
    <t>584-XS-322</t>
  </si>
  <si>
    <t>584-RSOV-201A</t>
  </si>
  <si>
    <t>584-RSOV-201B</t>
  </si>
  <si>
    <t>584-PIT-211</t>
  </si>
  <si>
    <t>584-PDIT-211</t>
  </si>
  <si>
    <t>584-TIT-211</t>
  </si>
  <si>
    <t>584-ZS-211</t>
  </si>
  <si>
    <t>584-IT-216A</t>
  </si>
  <si>
    <t>584-IT-216B</t>
  </si>
  <si>
    <t>584-XS-222</t>
  </si>
  <si>
    <t>584-XS-221</t>
  </si>
  <si>
    <t>584-TSH-220</t>
  </si>
  <si>
    <t>584-XS-219</t>
  </si>
  <si>
    <t>584-XS-218</t>
  </si>
  <si>
    <t>584-TSH-217</t>
  </si>
  <si>
    <t>584-XS-215B</t>
  </si>
  <si>
    <t>584-ESL-213B</t>
  </si>
  <si>
    <t>584-ESL-212B</t>
  </si>
  <si>
    <t>584-ESH-211B</t>
  </si>
  <si>
    <t>584-ESH-210B</t>
  </si>
  <si>
    <t>584-XS-215A</t>
  </si>
  <si>
    <t>584-XS-214</t>
  </si>
  <si>
    <t>584-ESL-213A</t>
  </si>
  <si>
    <t>584-ESL-212A</t>
  </si>
  <si>
    <t>584-ESH-211A</t>
  </si>
  <si>
    <t>584-XS-204</t>
  </si>
  <si>
    <t>584-TSH-203</t>
  </si>
  <si>
    <t>584-XS-202</t>
  </si>
  <si>
    <t>584-RZSC-201</t>
  </si>
  <si>
    <t>584-RZSO-201B</t>
  </si>
  <si>
    <t>584-RZSO-201A</t>
  </si>
  <si>
    <t>584-RSOV-101A</t>
  </si>
  <si>
    <t>584-RSOV-101B</t>
  </si>
  <si>
    <t>584-PIT-111</t>
  </si>
  <si>
    <t>584-PDIT-114</t>
  </si>
  <si>
    <t>584-TIT-111</t>
  </si>
  <si>
    <t>584-IT-116A</t>
  </si>
  <si>
    <t>584-IT-116B</t>
  </si>
  <si>
    <t>584-RZSO-101A</t>
  </si>
  <si>
    <t>584-RZSC-101</t>
  </si>
  <si>
    <t>584-RZSO-101B</t>
  </si>
  <si>
    <t>584-XS-101</t>
  </si>
  <si>
    <t>584-XS-102</t>
  </si>
  <si>
    <t>584-TSH-103</t>
  </si>
  <si>
    <t>584-XS-104</t>
  </si>
  <si>
    <t>584-TSH-112</t>
  </si>
  <si>
    <t>584-XS-116</t>
  </si>
  <si>
    <t>584-XS-117</t>
  </si>
  <si>
    <t>584-XS-119</t>
  </si>
  <si>
    <t>584-XS-120</t>
  </si>
  <si>
    <t>584-TSH-118</t>
  </si>
  <si>
    <t>584-ESH-110A</t>
  </si>
  <si>
    <t>584-ESH-111A</t>
  </si>
  <si>
    <t>584-ESL-112A</t>
  </si>
  <si>
    <t>584-ESL-113A</t>
  </si>
  <si>
    <t>584-XS-114</t>
  </si>
  <si>
    <t>584-XS-115A</t>
  </si>
  <si>
    <t>584-ESH-110B</t>
  </si>
  <si>
    <t>584-ESH-111B</t>
  </si>
  <si>
    <t>584-ESL-112B</t>
  </si>
  <si>
    <t>584-ESL-113B</t>
  </si>
  <si>
    <t>584-XS-115B</t>
  </si>
  <si>
    <t>601-PIT-701</t>
  </si>
  <si>
    <t>601-PIT-702</t>
  </si>
  <si>
    <t>601-TIT-701</t>
  </si>
  <si>
    <t>601-ZS-701</t>
  </si>
  <si>
    <t>601-ZS-702</t>
  </si>
  <si>
    <t>601-RZSO-701A</t>
  </si>
  <si>
    <t>601-RZSO-701B</t>
  </si>
  <si>
    <t>601-RZSC-701</t>
  </si>
  <si>
    <t>601-MZSO-701</t>
  </si>
  <si>
    <t>601-MZSC-701</t>
  </si>
  <si>
    <t>601-MXS-701</t>
  </si>
  <si>
    <t>601-MZSO-702</t>
  </si>
  <si>
    <t>601-MZSC-702</t>
  </si>
  <si>
    <t>601-MXS-702</t>
  </si>
  <si>
    <t>601-RSOV-701A</t>
  </si>
  <si>
    <t>601-RSOV-701B</t>
  </si>
  <si>
    <t>601-ET-701</t>
  </si>
  <si>
    <t>601-ET-702</t>
  </si>
  <si>
    <t>601-ET-703</t>
  </si>
  <si>
    <t>601-ET-704</t>
  </si>
  <si>
    <t>601-ET-705</t>
  </si>
  <si>
    <t>601-ET-707</t>
  </si>
  <si>
    <t>601-IT-708</t>
  </si>
  <si>
    <t>601-ET-709</t>
  </si>
  <si>
    <t>601-ET-710</t>
  </si>
  <si>
    <t>601-XS-711</t>
  </si>
  <si>
    <t>601-XS-712</t>
  </si>
  <si>
    <t>601-XS-706</t>
  </si>
  <si>
    <t>600-PIT-801</t>
  </si>
  <si>
    <t>600-PIT-802</t>
  </si>
  <si>
    <t>600-PIT-821</t>
  </si>
  <si>
    <t>600-PIT-822</t>
  </si>
  <si>
    <t>600-ZS-801</t>
  </si>
  <si>
    <t>600-ZS-802</t>
  </si>
  <si>
    <t>600-ZS-821</t>
  </si>
  <si>
    <t>600-ZS-822</t>
  </si>
  <si>
    <t>600-RSOV-801A</t>
  </si>
  <si>
    <t>600-RSOV-801B</t>
  </si>
  <si>
    <t>600-RSOV-821B</t>
  </si>
  <si>
    <t>600-RSOV-821A</t>
  </si>
  <si>
    <t>600-RZSO-801A</t>
  </si>
  <si>
    <t>600-RZSO-801B</t>
  </si>
  <si>
    <t>600-RZSC-801</t>
  </si>
  <si>
    <t>600-RZSO-821A</t>
  </si>
  <si>
    <t>600-RZSO-821B</t>
  </si>
  <si>
    <t>600-RZSC-821</t>
  </si>
  <si>
    <t>600-MZSO-801</t>
  </si>
  <si>
    <t>600-MZSC-801</t>
  </si>
  <si>
    <t>600-MXS-801</t>
  </si>
  <si>
    <t>600-MZSO-802</t>
  </si>
  <si>
    <t>600-MZSC-802</t>
  </si>
  <si>
    <t>600-MXS-802</t>
  </si>
  <si>
    <t>600-MZSO-821</t>
  </si>
  <si>
    <t>600-MZSC-821</t>
  </si>
  <si>
    <t>600-MXS-821</t>
  </si>
  <si>
    <t>600-MZSO-822</t>
  </si>
  <si>
    <t>600-MZSC-822</t>
  </si>
  <si>
    <t>600-MXS-822</t>
  </si>
  <si>
    <t>600-XS-813</t>
  </si>
  <si>
    <t>600-XS-814</t>
  </si>
  <si>
    <t>600-XS-815</t>
  </si>
  <si>
    <t>600-XS-816</t>
  </si>
  <si>
    <t>600-TSH-817</t>
  </si>
  <si>
    <t>600-XS-818</t>
  </si>
  <si>
    <t>600-XS-819</t>
  </si>
  <si>
    <t>600-ET-801</t>
  </si>
  <si>
    <t>600-ET-807</t>
  </si>
  <si>
    <t>600-XS-805</t>
  </si>
  <si>
    <t>600-IT-808</t>
  </si>
  <si>
    <t>600-ET-809</t>
  </si>
  <si>
    <t>600-ET-810</t>
  </si>
  <si>
    <t>600-ET-802</t>
  </si>
  <si>
    <t>600-ET-803</t>
  </si>
  <si>
    <t>600-ET-804</t>
  </si>
  <si>
    <t>600-ET-806</t>
  </si>
  <si>
    <t>402-PIT-201</t>
  </si>
  <si>
    <t>402-PIT-202</t>
  </si>
  <si>
    <t>402-TIT-201</t>
  </si>
  <si>
    <t>402-ZL-201</t>
  </si>
  <si>
    <t>402-ZL-202</t>
  </si>
  <si>
    <t>402-ZS-201</t>
  </si>
  <si>
    <t>402-ZS-202</t>
  </si>
  <si>
    <t>402-RZSO-201A</t>
  </si>
  <si>
    <t>402-RZSO-201B</t>
  </si>
  <si>
    <t>402-RZSC-201</t>
  </si>
  <si>
    <t>402-RSOV-201A</t>
  </si>
  <si>
    <t>402-RSOV-201B</t>
  </si>
  <si>
    <t>402-ET-207</t>
  </si>
  <si>
    <t>402-IT-206</t>
  </si>
  <si>
    <t>402-ET-209</t>
  </si>
  <si>
    <t>402-ET-210</t>
  </si>
  <si>
    <t>402-MZSO-202</t>
  </si>
  <si>
    <t>402-MZSC-202</t>
  </si>
  <si>
    <t>402-MXS-202</t>
  </si>
  <si>
    <t>402-MZSO-203</t>
  </si>
  <si>
    <t>402-MZSC-203</t>
  </si>
  <si>
    <t>402-MXS-203</t>
  </si>
  <si>
    <t>402-ET-201</t>
  </si>
  <si>
    <t>402-ET-202</t>
  </si>
  <si>
    <t>402-ET-203</t>
  </si>
  <si>
    <t>402-ET-204</t>
  </si>
  <si>
    <t>402-XS-205</t>
  </si>
  <si>
    <t>402-ET-206</t>
  </si>
  <si>
    <t>402-XS-211</t>
  </si>
  <si>
    <t>402-XS-212</t>
  </si>
  <si>
    <t>402-XS-213</t>
  </si>
  <si>
    <t>584-ZL-211</t>
  </si>
  <si>
    <t>402-ESL-104</t>
  </si>
  <si>
    <t>402-ESL-105</t>
  </si>
  <si>
    <t>EXISTING</t>
  </si>
  <si>
    <t>584-ZS-112</t>
  </si>
  <si>
    <t>584-ZL-112</t>
  </si>
  <si>
    <t>584-ZL-311</t>
  </si>
  <si>
    <t>600-ZL-801</t>
  </si>
  <si>
    <t>600-ZL-802</t>
  </si>
  <si>
    <t>600-ZL-821</t>
  </si>
  <si>
    <t>600-ZL-822</t>
  </si>
  <si>
    <t>601-ZL-701</t>
  </si>
  <si>
    <t>601-ZL-702</t>
  </si>
  <si>
    <t>505-FI-3100-01</t>
  </si>
  <si>
    <t>505-PI-3100-04</t>
  </si>
  <si>
    <t>505-PI-3100-01</t>
  </si>
  <si>
    <t>505-TI-3100-01</t>
  </si>
  <si>
    <t>505-PIT-704</t>
  </si>
  <si>
    <t>505-PIT-705</t>
  </si>
  <si>
    <t>505-PIT-3100-02</t>
  </si>
  <si>
    <t>505-PDIT-3100-02</t>
  </si>
  <si>
    <t>505-TIT-3100-02</t>
  </si>
  <si>
    <t>505-HSO-3100</t>
  </si>
  <si>
    <t>505-HSC-3100</t>
  </si>
  <si>
    <t>505-SOV-701A</t>
  </si>
  <si>
    <t>505-SOV-701B</t>
  </si>
  <si>
    <t>FROM OTHERS</t>
  </si>
  <si>
    <t>505-RZR-3100</t>
  </si>
  <si>
    <t>505-RZH-3100</t>
  </si>
  <si>
    <t>505-RZL-3100</t>
  </si>
  <si>
    <t>505-FXA-3100</t>
  </si>
  <si>
    <t>505-FUY-3100</t>
  </si>
  <si>
    <t>505-ZS-703</t>
  </si>
  <si>
    <t>505-ZSI-701</t>
  </si>
  <si>
    <t>505-ZSO-701</t>
  </si>
  <si>
    <t>505-ZSC-701</t>
  </si>
  <si>
    <t>RTU I/O SUMMARY</t>
  </si>
  <si>
    <t>584-PIC-211A</t>
  </si>
  <si>
    <t>584-PIC-211B</t>
  </si>
  <si>
    <t>584-PIT-XXX</t>
  </si>
  <si>
    <t>584-PSL-211</t>
  </si>
  <si>
    <t>584-RZS0-211A</t>
  </si>
  <si>
    <t>584-RZSC-211A</t>
  </si>
  <si>
    <t>584-RZS0-211B</t>
  </si>
  <si>
    <t>584-RZSC-211B</t>
  </si>
  <si>
    <t>584-SOV-211B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</si>
</sst>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.0%"/>
    <numFmt numFmtId="165" formatCode="0.000"/>
    <numFmt numFmtId="166" formatCode="0.0000"/>
    <numFmt numFmtId="167" formatCode="0.0"/>
    <numFmt numFmtId="168" formatCode="[$-409]d\-mmm\-yy;@"/>
    <numFmt numFmtId="169" formatCode="_(* #,##0_);_(* \(#,##0\);_(* &quot;-&quot;??_);_(@_)"/>
    <numFmt numFmtId="170" formatCode="[$-409]mmm\-yy;@"/>
  </numFmts>
  <fonts count="22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8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sz val="18"/>
      <color indexed="12"/>
      <name val="Arial"/>
      <family val="2"/>
    </font>
    <font>
      <sz val="7"/>
      <name val="Arial"/>
      <family val="2"/>
    </font>
    <font>
      <sz val="12"/>
      <name val="Arial Narrow"/>
      <family val="2"/>
    </font>
    <font>
      <b/>
      <sz val="11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2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rgb="FF00B050"/>
      </left>
      <right/>
      <top/>
      <bottom/>
      <diagonal/>
    </border>
    <border>
      <left/>
      <right style="double">
        <color rgb="FF00B050"/>
      </right>
      <top/>
      <bottom/>
      <diagonal/>
    </border>
    <border>
      <left style="double">
        <color rgb="FF00B050"/>
      </left>
      <right/>
      <top/>
      <bottom style="double">
        <color rgb="FF00B050"/>
      </bottom>
      <diagonal/>
    </border>
    <border>
      <left/>
      <right/>
      <top/>
      <bottom style="double">
        <color rgb="FF00B050"/>
      </bottom>
      <diagonal/>
    </border>
    <border>
      <left/>
      <right style="double">
        <color rgb="FF00B050"/>
      </right>
      <top/>
      <bottom style="double">
        <color rgb="FF00B050"/>
      </bottom>
      <diagonal/>
    </border>
    <border>
      <left style="double">
        <color rgb="FF00B050"/>
      </left>
      <right style="thin">
        <color rgb="FF00B050"/>
      </right>
      <top style="double">
        <color rgb="FF00B050"/>
      </top>
      <bottom style="double">
        <color rgb="FF00B050"/>
      </bottom>
      <diagonal/>
    </border>
    <border>
      <left style="double">
        <color rgb="FF00B050"/>
      </left>
      <right style="thin">
        <color rgb="FF00B050"/>
      </right>
      <top/>
      <bottom style="thin">
        <color rgb="FF00B050"/>
      </bottom>
      <diagonal/>
    </border>
    <border>
      <left style="double">
        <color rgb="FF00B050"/>
      </left>
      <right style="thin">
        <color rgb="FF00B050"/>
      </right>
      <top style="thin">
        <color rgb="FF00B050"/>
      </top>
      <bottom style="double">
        <color rgb="FF00B050"/>
      </bottom>
      <diagonal/>
    </border>
    <border>
      <left style="thin">
        <color rgb="FF00B050"/>
      </left>
      <right style="thin">
        <color rgb="FF00B050"/>
      </right>
      <top style="double">
        <color rgb="FF00B050"/>
      </top>
      <bottom style="double">
        <color rgb="FF00B050"/>
      </bottom>
      <diagonal/>
    </border>
    <border>
      <left style="thin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double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double">
        <color rgb="FF00B050"/>
      </bottom>
      <diagonal/>
    </border>
    <border>
      <left style="thin">
        <color rgb="FF00B050"/>
      </left>
      <right style="double">
        <color rgb="FF00B050"/>
      </right>
      <top style="thin">
        <color rgb="FF00B050"/>
      </top>
      <bottom style="double">
        <color rgb="FF00B050"/>
      </bottom>
      <diagonal/>
    </border>
    <border>
      <left/>
      <right style="thin">
        <color rgb="FF00B050"/>
      </right>
      <top style="double">
        <color rgb="FF00B050"/>
      </top>
      <bottom style="double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double">
        <color rgb="FF00B050"/>
      </bottom>
      <diagonal/>
    </border>
    <border>
      <left style="double">
        <color indexed="57"/>
      </left>
      <right/>
      <top style="double">
        <color rgb="FF00B050"/>
      </top>
      <bottom style="double">
        <color indexed="57"/>
      </bottom>
      <diagonal/>
    </border>
    <border>
      <left/>
      <right/>
      <top style="double">
        <color rgb="FF00B050"/>
      </top>
      <bottom style="double">
        <color indexed="57"/>
      </bottom>
      <diagonal/>
    </border>
    <border>
      <left/>
      <right style="double">
        <color rgb="FF00B050"/>
      </right>
      <top style="double">
        <color rgb="FF00B050"/>
      </top>
      <bottom style="double">
        <color indexed="57"/>
      </bottom>
      <diagonal/>
    </border>
    <border>
      <left style="double">
        <color indexed="57"/>
      </left>
      <right/>
      <top/>
      <bottom style="double">
        <color rgb="FF00B050"/>
      </bottom>
      <diagonal/>
    </border>
    <border>
      <left style="double">
        <color rgb="FF00B050"/>
      </left>
      <right/>
      <top style="double">
        <color rgb="FF00B050"/>
      </top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 style="double">
        <color indexed="57"/>
      </right>
      <top style="double">
        <color rgb="FF00B050"/>
      </top>
      <bottom style="double">
        <color rgb="FF00B050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170" fontId="21" fillId="0" borderId="0"/>
    <xf numFmtId="0" fontId="1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10" fontId="3" fillId="2" borderId="0" xfId="0" applyNumberFormat="1" applyFont="1" applyFill="1"/>
    <xf numFmtId="10" fontId="0" fillId="2" borderId="0" xfId="0" applyNumberFormat="1" applyFill="1"/>
    <xf numFmtId="0" fontId="7" fillId="0" borderId="1" xfId="0" applyFont="1" applyFill="1" applyBorder="1" applyAlignment="1"/>
    <xf numFmtId="0" fontId="8" fillId="0" borderId="1" xfId="0" applyFont="1" applyFill="1" applyBorder="1" applyAlignment="1">
      <alignment horizontal="center"/>
    </xf>
    <xf numFmtId="15" fontId="7" fillId="0" borderId="1" xfId="0" applyNumberFormat="1" applyFont="1" applyBorder="1" applyAlignment="1" applyProtection="1">
      <alignment horizontal="center"/>
      <protection hidden="1"/>
    </xf>
    <xf numFmtId="15" fontId="7" fillId="0" borderId="1" xfId="0" applyNumberFormat="1" applyFont="1" applyFill="1" applyBorder="1" applyAlignment="1" applyProtection="1">
      <alignment horizontal="center"/>
      <protection hidden="1"/>
    </xf>
    <xf numFmtId="10" fontId="0" fillId="0" borderId="2" xfId="5" applyNumberFormat="1" applyFont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9" fillId="3" borderId="3" xfId="0" applyFont="1" applyFill="1" applyBorder="1" applyAlignment="1">
      <alignment horizontal="center" vertical="center"/>
    </xf>
    <xf numFmtId="0" fontId="3" fillId="0" borderId="2" xfId="0" applyFont="1" applyBorder="1"/>
    <xf numFmtId="10" fontId="10" fillId="0" borderId="2" xfId="0" applyNumberFormat="1" applyFont="1" applyBorder="1" applyAlignment="1">
      <alignment horizontal="right"/>
    </xf>
    <xf numFmtId="10" fontId="10" fillId="0" borderId="2" xfId="5" applyNumberFormat="1" applyFont="1" applyFill="1" applyBorder="1" applyAlignment="1">
      <alignment horizontal="right"/>
    </xf>
    <xf numFmtId="10" fontId="5" fillId="4" borderId="4" xfId="5" applyNumberFormat="1" applyFont="1" applyFill="1" applyBorder="1" applyAlignment="1">
      <alignment horizontal="center" vertical="top"/>
    </xf>
    <xf numFmtId="167" fontId="0" fillId="0" borderId="0" xfId="0" applyNumberFormat="1"/>
    <xf numFmtId="9" fontId="0" fillId="0" borderId="0" xfId="0" applyNumberFormat="1"/>
    <xf numFmtId="15" fontId="0" fillId="0" borderId="0" xfId="0" applyNumberFormat="1"/>
    <xf numFmtId="4" fontId="10" fillId="0" borderId="5" xfId="0" applyNumberFormat="1" applyFont="1" applyBorder="1" applyAlignment="1">
      <alignment horizontal="left"/>
    </xf>
    <xf numFmtId="0" fontId="0" fillId="0" borderId="2" xfId="0" applyBorder="1"/>
    <xf numFmtId="10" fontId="0" fillId="0" borderId="2" xfId="0" applyNumberFormat="1" applyBorder="1"/>
    <xf numFmtId="4" fontId="10" fillId="0" borderId="2" xfId="0" applyNumberFormat="1" applyFont="1" applyBorder="1" applyAlignment="1">
      <alignment horizontal="left"/>
    </xf>
    <xf numFmtId="9" fontId="2" fillId="0" borderId="2" xfId="5" applyFont="1" applyFill="1" applyBorder="1" applyAlignment="1">
      <alignment horizontal="center"/>
    </xf>
    <xf numFmtId="2" fontId="14" fillId="0" borderId="2" xfId="5" applyNumberFormat="1" applyFont="1" applyFill="1" applyBorder="1" applyAlignment="1">
      <alignment horizontal="center"/>
    </xf>
    <xf numFmtId="164" fontId="14" fillId="0" borderId="2" xfId="5" applyNumberFormat="1" applyFont="1" applyFill="1" applyBorder="1" applyAlignment="1">
      <alignment horizontal="center"/>
    </xf>
    <xf numFmtId="2" fontId="10" fillId="0" borderId="2" xfId="0" applyNumberFormat="1" applyFont="1" applyFill="1" applyBorder="1" applyAlignment="1">
      <alignment horizontal="right"/>
    </xf>
    <xf numFmtId="164" fontId="2" fillId="0" borderId="2" xfId="5" applyNumberFormat="1" applyFont="1" applyFill="1" applyBorder="1" applyAlignment="1">
      <alignment horizontal="center"/>
    </xf>
    <xf numFmtId="165" fontId="10" fillId="0" borderId="2" xfId="0" applyNumberFormat="1" applyFont="1" applyBorder="1" applyAlignment="1">
      <alignment horizontal="right"/>
    </xf>
    <xf numFmtId="2" fontId="10" fillId="0" borderId="2" xfId="0" applyNumberFormat="1" applyFont="1" applyBorder="1" applyAlignment="1">
      <alignment horizontal="right"/>
    </xf>
    <xf numFmtId="166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10" fontId="0" fillId="0" borderId="0" xfId="5" applyNumberFormat="1" applyFont="1"/>
    <xf numFmtId="164" fontId="10" fillId="0" borderId="2" xfId="5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left"/>
    </xf>
    <xf numFmtId="0" fontId="12" fillId="0" borderId="2" xfId="0" applyFont="1" applyBorder="1"/>
    <xf numFmtId="2" fontId="9" fillId="3" borderId="2" xfId="5" applyNumberFormat="1" applyFont="1" applyFill="1" applyBorder="1" applyAlignment="1">
      <alignment horizontal="center" vertical="center"/>
    </xf>
    <xf numFmtId="10" fontId="11" fillId="0" borderId="2" xfId="0" applyNumberFormat="1" applyFont="1" applyFill="1" applyBorder="1" applyAlignment="1">
      <alignment horizontal="center" vertical="center"/>
    </xf>
    <xf numFmtId="0" fontId="6" fillId="0" borderId="0" xfId="4" applyBorder="1"/>
    <xf numFmtId="0" fontId="6" fillId="0" borderId="0" xfId="4"/>
    <xf numFmtId="0" fontId="6" fillId="0" borderId="0" xfId="4" applyBorder="1" applyAlignment="1">
      <alignment horizontal="center" vertical="center"/>
    </xf>
    <xf numFmtId="0" fontId="6" fillId="0" borderId="0" xfId="4" applyAlignment="1">
      <alignment horizontal="center" vertical="center"/>
    </xf>
    <xf numFmtId="169" fontId="6" fillId="0" borderId="0" xfId="1" applyNumberFormat="1" applyFont="1" applyBorder="1" applyAlignment="1">
      <alignment horizontal="center" vertical="center"/>
    </xf>
    <xf numFmtId="169" fontId="0" fillId="0" borderId="0" xfId="1" applyNumberFormat="1" applyFont="1"/>
    <xf numFmtId="169" fontId="6" fillId="0" borderId="0" xfId="4" applyNumberFormat="1"/>
    <xf numFmtId="0" fontId="16" fillId="0" borderId="6" xfId="4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 wrapText="1"/>
    </xf>
    <xf numFmtId="0" fontId="11" fillId="0" borderId="0" xfId="4" applyFont="1" applyBorder="1" applyAlignment="1">
      <alignment horizontal="center" vertical="center" wrapText="1"/>
    </xf>
    <xf numFmtId="17" fontId="17" fillId="0" borderId="2" xfId="4" applyNumberFormat="1" applyFont="1" applyBorder="1" applyAlignment="1"/>
    <xf numFmtId="17" fontId="17" fillId="0" borderId="0" xfId="4" applyNumberFormat="1" applyFont="1" applyBorder="1" applyAlignment="1"/>
    <xf numFmtId="0" fontId="18" fillId="0" borderId="8" xfId="4" applyFont="1" applyBorder="1" applyAlignment="1">
      <alignment horizontal="center" vertical="center"/>
    </xf>
    <xf numFmtId="0" fontId="6" fillId="0" borderId="9" xfId="4" applyBorder="1" applyAlignment="1">
      <alignment horizontal="center" vertical="center"/>
    </xf>
    <xf numFmtId="2" fontId="15" fillId="0" borderId="10" xfId="4" applyNumberFormat="1" applyFont="1" applyBorder="1" applyAlignment="1">
      <alignment textRotation="90"/>
    </xf>
    <xf numFmtId="2" fontId="15" fillId="0" borderId="0" xfId="4" applyNumberFormat="1" applyFont="1" applyBorder="1" applyAlignment="1">
      <alignment textRotation="90"/>
    </xf>
    <xf numFmtId="167" fontId="19" fillId="0" borderId="11" xfId="4" applyNumberFormat="1" applyFont="1" applyFill="1" applyBorder="1" applyAlignment="1">
      <alignment horizontal="center" vertical="center"/>
    </xf>
    <xf numFmtId="2" fontId="5" fillId="0" borderId="4" xfId="4" applyNumberFormat="1" applyFont="1" applyFill="1" applyBorder="1" applyAlignment="1"/>
    <xf numFmtId="2" fontId="5" fillId="0" borderId="0" xfId="4" applyNumberFormat="1" applyFont="1" applyFill="1" applyBorder="1" applyAlignment="1"/>
    <xf numFmtId="0" fontId="20" fillId="0" borderId="0" xfId="4" applyFont="1"/>
    <xf numFmtId="167" fontId="19" fillId="0" borderId="12" xfId="4" applyNumberFormat="1" applyFont="1" applyFill="1" applyBorder="1" applyAlignment="1">
      <alignment horizontal="center" vertical="center" wrapText="1"/>
    </xf>
    <xf numFmtId="2" fontId="5" fillId="0" borderId="2" xfId="4" applyNumberFormat="1" applyFont="1" applyFill="1" applyBorder="1" applyAlignment="1"/>
    <xf numFmtId="2" fontId="20" fillId="0" borderId="0" xfId="4" applyNumberFormat="1" applyFont="1"/>
    <xf numFmtId="2" fontId="5" fillId="0" borderId="3" xfId="4" applyNumberFormat="1" applyFont="1" applyFill="1" applyBorder="1" applyAlignment="1"/>
    <xf numFmtId="167" fontId="19" fillId="0" borderId="0" xfId="4" applyNumberFormat="1" applyFont="1" applyFill="1" applyBorder="1" applyAlignment="1">
      <alignment horizontal="center" vertical="center" wrapText="1"/>
    </xf>
    <xf numFmtId="167" fontId="19" fillId="0" borderId="11" xfId="4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6" fillId="0" borderId="22" xfId="4" applyBorder="1"/>
    <xf numFmtId="0" fontId="6" fillId="0" borderId="23" xfId="4" applyBorder="1"/>
    <xf numFmtId="0" fontId="6" fillId="0" borderId="22" xfId="4" applyBorder="1" applyAlignment="1">
      <alignment horizontal="center" vertical="center"/>
    </xf>
    <xf numFmtId="4" fontId="6" fillId="0" borderId="23" xfId="4" applyNumberFormat="1" applyFont="1" applyBorder="1" applyAlignment="1">
      <alignment horizontal="center" vertical="center"/>
    </xf>
    <xf numFmtId="0" fontId="6" fillId="0" borderId="24" xfId="4" applyBorder="1"/>
    <xf numFmtId="0" fontId="6" fillId="0" borderId="25" xfId="4" applyBorder="1"/>
    <xf numFmtId="0" fontId="6" fillId="0" borderId="26" xfId="4" applyBorder="1"/>
    <xf numFmtId="15" fontId="15" fillId="0" borderId="23" xfId="4" applyNumberFormat="1" applyFont="1" applyBorder="1" applyAlignment="1">
      <alignment horizontal="center" vertical="center" wrapText="1"/>
    </xf>
    <xf numFmtId="4" fontId="6" fillId="0" borderId="23" xfId="4" applyNumberFormat="1" applyBorder="1" applyAlignment="1">
      <alignment horizontal="center" vertical="center" wrapText="1"/>
    </xf>
    <xf numFmtId="0" fontId="17" fillId="0" borderId="27" xfId="4" applyFont="1" applyBorder="1" applyAlignment="1">
      <alignment horizontal="center" vertical="center" wrapText="1"/>
    </xf>
    <xf numFmtId="0" fontId="17" fillId="0" borderId="28" xfId="4" applyFont="1" applyBorder="1" applyAlignment="1">
      <alignment horizontal="center" vertical="center" wrapText="1"/>
    </xf>
    <xf numFmtId="0" fontId="17" fillId="0" borderId="29" xfId="4" applyFont="1" applyBorder="1" applyAlignment="1">
      <alignment horizontal="center" vertical="center" wrapText="1"/>
    </xf>
    <xf numFmtId="168" fontId="12" fillId="0" borderId="30" xfId="4" applyNumberFormat="1" applyFont="1" applyBorder="1" applyAlignment="1">
      <alignment horizontal="center" vertical="center" textRotation="90" wrapText="1"/>
    </xf>
    <xf numFmtId="168" fontId="12" fillId="0" borderId="31" xfId="4" applyNumberFormat="1" applyFont="1" applyBorder="1" applyAlignment="1">
      <alignment horizontal="center" vertical="center" textRotation="90" wrapText="1"/>
    </xf>
    <xf numFmtId="4" fontId="12" fillId="0" borderId="32" xfId="4" applyNumberFormat="1" applyFont="1" applyBorder="1" applyAlignment="1">
      <alignment horizontal="center" vertical="center" textRotation="90"/>
    </xf>
    <xf numFmtId="10" fontId="12" fillId="0" borderId="32" xfId="5" applyNumberFormat="1" applyFont="1" applyBorder="1" applyAlignment="1">
      <alignment horizontal="center" vertical="center" textRotation="90"/>
    </xf>
    <xf numFmtId="10" fontId="12" fillId="0" borderId="33" xfId="5" applyNumberFormat="1" applyFont="1" applyBorder="1" applyAlignment="1">
      <alignment horizontal="center" vertical="center" textRotation="90"/>
    </xf>
    <xf numFmtId="4" fontId="12" fillId="0" borderId="34" xfId="4" applyNumberFormat="1" applyFont="1" applyBorder="1" applyAlignment="1">
      <alignment horizontal="center" vertical="center" textRotation="90"/>
    </xf>
    <xf numFmtId="10" fontId="12" fillId="0" borderId="34" xfId="5" applyNumberFormat="1" applyFont="1" applyBorder="1" applyAlignment="1">
      <alignment horizontal="center" vertical="center" textRotation="90"/>
    </xf>
    <xf numFmtId="10" fontId="12" fillId="0" borderId="35" xfId="5" applyNumberFormat="1" applyFont="1" applyBorder="1" applyAlignment="1">
      <alignment horizontal="center" vertical="center" textRotation="90"/>
    </xf>
    <xf numFmtId="168" fontId="12" fillId="0" borderId="36" xfId="4" applyNumberFormat="1" applyFont="1" applyBorder="1" applyAlignment="1">
      <alignment horizontal="center" vertical="center" textRotation="90" wrapText="1"/>
    </xf>
    <xf numFmtId="10" fontId="12" fillId="0" borderId="37" xfId="5" applyNumberFormat="1" applyFont="1" applyBorder="1" applyAlignment="1">
      <alignment horizontal="center" vertical="center" textRotation="90"/>
    </xf>
    <xf numFmtId="10" fontId="12" fillId="0" borderId="38" xfId="5" applyNumberFormat="1" applyFont="1" applyBorder="1" applyAlignment="1">
      <alignment horizontal="center" vertical="center" textRotation="90"/>
    </xf>
    <xf numFmtId="10" fontId="9" fillId="0" borderId="2" xfId="0" applyNumberFormat="1" applyFont="1" applyFill="1" applyBorder="1" applyAlignment="1">
      <alignment horizontal="center" vertical="center"/>
    </xf>
    <xf numFmtId="10" fontId="9" fillId="3" borderId="2" xfId="5" applyNumberFormat="1" applyFont="1" applyFill="1" applyBorder="1" applyAlignment="1">
      <alignment horizontal="center" vertical="center"/>
    </xf>
    <xf numFmtId="10" fontId="14" fillId="0" borderId="2" xfId="5" applyNumberFormat="1" applyFont="1" applyFill="1" applyBorder="1" applyAlignment="1">
      <alignment horizontal="center"/>
    </xf>
    <xf numFmtId="10" fontId="2" fillId="0" borderId="2" xfId="5" applyNumberFormat="1" applyFont="1" applyFill="1" applyBorder="1" applyAlignment="1">
      <alignment horizontal="center"/>
    </xf>
    <xf numFmtId="167" fontId="9" fillId="0" borderId="2" xfId="5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6" fillId="0" borderId="2" xfId="0" applyFont="1" applyBorder="1" applyAlignment="1">
      <alignment horizontal="center"/>
    </xf>
    <xf numFmtId="0" fontId="6" fillId="0" borderId="0" xfId="0" applyFont="1"/>
    <xf numFmtId="0" fontId="3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0" fontId="3" fillId="0" borderId="0" xfId="0" applyFont="1" applyFill="1" applyBorder="1" applyAlignment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 wrapText="1"/>
    </xf>
    <xf numFmtId="0" fontId="5" fillId="0" borderId="20" xfId="4" applyFont="1" applyBorder="1" applyAlignment="1">
      <alignment horizontal="center" vertical="center" wrapText="1"/>
    </xf>
    <xf numFmtId="0" fontId="5" fillId="0" borderId="21" xfId="4" applyFont="1" applyBorder="1" applyAlignment="1">
      <alignment horizontal="center" vertical="center" wrapText="1"/>
    </xf>
    <xf numFmtId="0" fontId="5" fillId="0" borderId="0" xfId="4" applyFont="1" applyBorder="1" applyAlignment="1">
      <alignment horizontal="center" vertical="center" wrapText="1"/>
    </xf>
    <xf numFmtId="15" fontId="3" fillId="0" borderId="39" xfId="4" applyNumberFormat="1" applyFont="1" applyBorder="1" applyAlignment="1">
      <alignment horizontal="center" vertical="center" wrapText="1"/>
    </xf>
    <xf numFmtId="15" fontId="3" fillId="0" borderId="40" xfId="4" applyNumberFormat="1" applyFont="1" applyBorder="1" applyAlignment="1">
      <alignment horizontal="center" vertical="center" wrapText="1"/>
    </xf>
    <xf numFmtId="15" fontId="3" fillId="0" borderId="41" xfId="4" applyNumberFormat="1" applyFont="1" applyBorder="1" applyAlignment="1">
      <alignment horizontal="center" vertical="center" wrapText="1"/>
    </xf>
    <xf numFmtId="0" fontId="3" fillId="0" borderId="42" xfId="4" applyFont="1" applyBorder="1" applyAlignment="1">
      <alignment horizontal="center" vertical="center" wrapText="1"/>
    </xf>
    <xf numFmtId="0" fontId="3" fillId="0" borderId="25" xfId="4" applyFont="1" applyBorder="1" applyAlignment="1">
      <alignment horizontal="center" vertical="center" wrapText="1"/>
    </xf>
    <xf numFmtId="0" fontId="3" fillId="0" borderId="26" xfId="4" applyFont="1" applyBorder="1" applyAlignment="1">
      <alignment horizontal="center" vertical="center" wrapText="1"/>
    </xf>
    <xf numFmtId="0" fontId="13" fillId="0" borderId="43" xfId="4" applyFont="1" applyBorder="1" applyAlignment="1">
      <alignment horizontal="center" vertical="center" wrapText="1"/>
    </xf>
    <xf numFmtId="0" fontId="13" fillId="0" borderId="44" xfId="4" applyFont="1" applyBorder="1" applyAlignment="1">
      <alignment horizontal="center" vertical="center" wrapText="1"/>
    </xf>
    <xf numFmtId="0" fontId="13" fillId="0" borderId="45" xfId="4" applyFont="1" applyBorder="1" applyAlignment="1">
      <alignment horizontal="center" vertical="center" wrapText="1"/>
    </xf>
    <xf numFmtId="0" fontId="4" fillId="0" borderId="43" xfId="4" applyFont="1" applyBorder="1" applyAlignment="1">
      <alignment horizontal="center" vertical="center" wrapText="1"/>
    </xf>
    <xf numFmtId="0" fontId="4" fillId="0" borderId="44" xfId="4" applyFont="1" applyBorder="1" applyAlignment="1">
      <alignment horizontal="center" vertical="center" wrapText="1"/>
    </xf>
    <xf numFmtId="0" fontId="4" fillId="0" borderId="45" xfId="4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0" fillId="0" borderId="12" xfId="0" applyBorder="1"/>
    <xf numFmtId="0" fontId="0" fillId="0" borderId="3" xfId="0" applyBorder="1"/>
    <xf numFmtId="0" fontId="1" fillId="6" borderId="2" xfId="0" applyFont="1" applyFill="1" applyBorder="1" applyAlignment="1">
      <alignment horizontal="center"/>
    </xf>
  </cellXfs>
  <cellStyles count="7">
    <cellStyle name="Comma 2" xfId="1"/>
    <cellStyle name="Normal" xfId="0" builtinId="0"/>
    <cellStyle name="Normal 116" xfId="2"/>
    <cellStyle name="Normal 2" xfId="3"/>
    <cellStyle name="Normal 2 2" xfId="4"/>
    <cellStyle name="Percent" xfId="5" builtinId="5"/>
    <cellStyle name="Percent 2" xfId="6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3399"/>
      <color rgb="FFFFFF99"/>
      <color rgb="FFFF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81598129699433E-2"/>
          <c:y val="3.2213993617397692E-2"/>
          <c:w val="0.93700943301822215"/>
          <c:h val="0.79806214759432659"/>
        </c:manualLayout>
      </c:layout>
      <c:lineChart>
        <c:grouping val="standard"/>
        <c:varyColors val="0"/>
        <c:ser>
          <c:idx val="3"/>
          <c:order val="0"/>
          <c:tx>
            <c:strRef>
              <c:f>'OVERALL-S-CURVE'!$C$55</c:f>
              <c:strCache>
                <c:ptCount val="1"/>
                <c:pt idx="0">
                  <c:v>Commulative Overall % per Month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cat>
            <c:numRef>
              <c:f>'OVERALL-S-CURVE'!$D$53:$AQ$53</c:f>
              <c:numCache>
                <c:formatCode>[$-409]d\-mmm\-yy;@</c:formatCode>
                <c:ptCount val="40"/>
                <c:pt idx="0">
                  <c:v>41332</c:v>
                </c:pt>
                <c:pt idx="1">
                  <c:v>41339</c:v>
                </c:pt>
                <c:pt idx="2">
                  <c:v>41346</c:v>
                </c:pt>
                <c:pt idx="3">
                  <c:v>41353</c:v>
                </c:pt>
                <c:pt idx="4">
                  <c:v>41360</c:v>
                </c:pt>
                <c:pt idx="5">
                  <c:v>41367</c:v>
                </c:pt>
                <c:pt idx="6">
                  <c:v>41374</c:v>
                </c:pt>
                <c:pt idx="7">
                  <c:v>41381</c:v>
                </c:pt>
                <c:pt idx="8">
                  <c:v>41388</c:v>
                </c:pt>
                <c:pt idx="9">
                  <c:v>41395</c:v>
                </c:pt>
                <c:pt idx="10">
                  <c:v>41402</c:v>
                </c:pt>
                <c:pt idx="11">
                  <c:v>41409</c:v>
                </c:pt>
                <c:pt idx="12">
                  <c:v>41416</c:v>
                </c:pt>
                <c:pt idx="13">
                  <c:v>41423</c:v>
                </c:pt>
                <c:pt idx="14">
                  <c:v>41430</c:v>
                </c:pt>
                <c:pt idx="15">
                  <c:v>41437</c:v>
                </c:pt>
                <c:pt idx="16">
                  <c:v>41444</c:v>
                </c:pt>
                <c:pt idx="17">
                  <c:v>41451</c:v>
                </c:pt>
                <c:pt idx="18">
                  <c:v>41458</c:v>
                </c:pt>
                <c:pt idx="19">
                  <c:v>41465</c:v>
                </c:pt>
                <c:pt idx="20">
                  <c:v>41472</c:v>
                </c:pt>
                <c:pt idx="21">
                  <c:v>41479</c:v>
                </c:pt>
                <c:pt idx="22">
                  <c:v>41486</c:v>
                </c:pt>
                <c:pt idx="23">
                  <c:v>41493</c:v>
                </c:pt>
                <c:pt idx="24">
                  <c:v>41500</c:v>
                </c:pt>
                <c:pt idx="25">
                  <c:v>41507</c:v>
                </c:pt>
                <c:pt idx="26">
                  <c:v>41514</c:v>
                </c:pt>
                <c:pt idx="27">
                  <c:v>41521</c:v>
                </c:pt>
                <c:pt idx="28">
                  <c:v>41528</c:v>
                </c:pt>
                <c:pt idx="29">
                  <c:v>41535</c:v>
                </c:pt>
                <c:pt idx="30">
                  <c:v>41542</c:v>
                </c:pt>
                <c:pt idx="31">
                  <c:v>41549</c:v>
                </c:pt>
                <c:pt idx="32">
                  <c:v>41556</c:v>
                </c:pt>
                <c:pt idx="33">
                  <c:v>41563</c:v>
                </c:pt>
                <c:pt idx="34">
                  <c:v>41570</c:v>
                </c:pt>
                <c:pt idx="35">
                  <c:v>41577</c:v>
                </c:pt>
                <c:pt idx="36">
                  <c:v>41584</c:v>
                </c:pt>
                <c:pt idx="37">
                  <c:v>41591</c:v>
                </c:pt>
                <c:pt idx="38">
                  <c:v>41598</c:v>
                </c:pt>
                <c:pt idx="39">
                  <c:v>41605</c:v>
                </c:pt>
              </c:numCache>
            </c:numRef>
          </c:cat>
          <c:val>
            <c:numRef>
              <c:f>'OVERALL-S-CURVE'!$D$55:$AM$55</c:f>
              <c:numCache>
                <c:formatCode>0.00%</c:formatCode>
                <c:ptCount val="36"/>
                <c:pt idx="0" formatCode="#,##0.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837792"/>
        <c:axId val="324838968"/>
      </c:lineChart>
      <c:dateAx>
        <c:axId val="324837792"/>
        <c:scaling>
          <c:orientation val="minMax"/>
        </c:scaling>
        <c:delete val="0"/>
        <c:axPos val="b"/>
        <c:majorGridlines/>
        <c:minorGridlines>
          <c:spPr>
            <a:ln w="9525"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9153058131227689"/>
              <c:y val="0.90704867337127626"/>
            </c:manualLayout>
          </c:layout>
          <c:overlay val="0"/>
        </c:title>
        <c:numFmt formatCode="[$-409]d\-m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4838968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324838968"/>
        <c:scaling>
          <c:orientation val="minMax"/>
          <c:max val="1.1000000000000001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Progress  %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4837792"/>
        <c:crosses val="autoZero"/>
        <c:crossBetween val="between"/>
        <c:minorUnit val="4.0000000000000022E-2"/>
      </c:valAx>
      <c:spPr>
        <a:solidFill>
          <a:schemeClr val="bg2">
            <a:lumMod val="90000"/>
          </a:schemeClr>
        </a:solidFill>
      </c:spPr>
    </c:plotArea>
    <c:legend>
      <c:legendPos val="r"/>
      <c:layout>
        <c:manualLayout>
          <c:xMode val="edge"/>
          <c:yMode val="edge"/>
          <c:x val="2.0448860027145549E-2"/>
          <c:y val="0.95039603960396069"/>
          <c:w val="0.94967661543758275"/>
          <c:h val="2.7369481042592327E-2"/>
        </c:manualLayout>
      </c:layout>
      <c:overlay val="0"/>
      <c:txPr>
        <a:bodyPr/>
        <a:lstStyle/>
        <a:p>
          <a:pPr>
            <a:defRPr sz="925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38100">
      <a:solidFill>
        <a:srgbClr val="FF0000"/>
      </a:solidFill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1</xdr:row>
      <xdr:rowOff>161925</xdr:rowOff>
    </xdr:from>
    <xdr:to>
      <xdr:col>2</xdr:col>
      <xdr:colOff>1371600</xdr:colOff>
      <xdr:row>2</xdr:row>
      <xdr:rowOff>276225</xdr:rowOff>
    </xdr:to>
    <xdr:pic>
      <xdr:nvPicPr>
        <xdr:cNvPr id="2171946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" y="266700"/>
          <a:ext cx="119062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1476375</xdr:colOff>
      <xdr:row>1</xdr:row>
      <xdr:rowOff>66675</xdr:rowOff>
    </xdr:from>
    <xdr:to>
      <xdr:col>5</xdr:col>
      <xdr:colOff>114300</xdr:colOff>
      <xdr:row>2</xdr:row>
      <xdr:rowOff>342900</xdr:rowOff>
    </xdr:to>
    <xdr:pic>
      <xdr:nvPicPr>
        <xdr:cNvPr id="2171947" name="Picture 5" descr="Al Asab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52600" y="171450"/>
          <a:ext cx="13239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37</xdr:col>
      <xdr:colOff>47625</xdr:colOff>
      <xdr:row>1</xdr:row>
      <xdr:rowOff>76200</xdr:rowOff>
    </xdr:from>
    <xdr:to>
      <xdr:col>40</xdr:col>
      <xdr:colOff>285750</xdr:colOff>
      <xdr:row>2</xdr:row>
      <xdr:rowOff>333375</xdr:rowOff>
    </xdr:to>
    <xdr:pic>
      <xdr:nvPicPr>
        <xdr:cNvPr id="2171948" name="Picture 1115" descr="JPK 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592300" y="180975"/>
          <a:ext cx="1323975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19050</xdr:colOff>
      <xdr:row>3</xdr:row>
      <xdr:rowOff>95250</xdr:rowOff>
    </xdr:from>
    <xdr:to>
      <xdr:col>42</xdr:col>
      <xdr:colOff>314325</xdr:colOff>
      <xdr:row>51</xdr:row>
      <xdr:rowOff>66675</xdr:rowOff>
    </xdr:to>
    <xdr:graphicFrame macro="">
      <xdr:nvGraphicFramePr>
        <xdr:cNvPr id="2171949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EMP\PR171102-Rev1Afor%20Review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/70175CW-MP-21-DC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1"/>
      <sheetName val="#REF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R-MP21"/>
      <sheetName val="S-curve"/>
      <sheetName val="Progress - DWGs -  ManHour"/>
      <sheetName val="PROGRESS"/>
      <sheetName val="LOOK AHEAD"/>
      <sheetName val="LOOK AHEAD (2)"/>
      <sheetName val="AAL NEW"/>
      <sheetName val="Sheet1"/>
      <sheetName val="Sheet2"/>
    </sheetNames>
    <sheetDataSet>
      <sheetData sheetId="0" refreshError="1">
        <row r="6">
          <cell r="BC6">
            <v>40058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3"/>
  <sheetViews>
    <sheetView topLeftCell="B1" workbookViewId="0">
      <selection activeCell="C5" sqref="C5"/>
    </sheetView>
  </sheetViews>
  <sheetFormatPr defaultRowHeight="11.25" x14ac:dyDescent="0.2"/>
  <cols>
    <col min="1" max="1" width="11.28515625" style="15" customWidth="1"/>
    <col min="2" max="2" width="49.7109375" style="15" customWidth="1"/>
    <col min="3" max="3" width="9.85546875" style="15" bestFit="1" customWidth="1"/>
    <col min="4" max="4" width="8.85546875" style="15" customWidth="1"/>
    <col min="5" max="5" width="7.28515625" style="15" customWidth="1"/>
    <col min="6" max="6" width="9.5703125" style="15" customWidth="1"/>
    <col min="7" max="7" width="8.85546875" style="15" customWidth="1"/>
    <col min="8" max="8" width="9.7109375" style="15" customWidth="1"/>
    <col min="9" max="9" width="9.85546875" style="15" customWidth="1"/>
    <col min="10" max="10" width="12.28515625" style="15" customWidth="1"/>
    <col min="11" max="16384" width="9.140625" style="15"/>
  </cols>
  <sheetData>
    <row r="2" spans="1:10" s="14" customFormat="1" ht="18" customHeight="1" x14ac:dyDescent="0.2">
      <c r="A2" s="125" t="s">
        <v>19</v>
      </c>
      <c r="B2" s="139" t="s">
        <v>16</v>
      </c>
      <c r="C2" s="128" t="s">
        <v>11</v>
      </c>
      <c r="D2" s="132" t="s">
        <v>15</v>
      </c>
      <c r="E2" s="134"/>
      <c r="F2" s="134"/>
      <c r="G2" s="133"/>
      <c r="H2" s="135" t="s">
        <v>14</v>
      </c>
      <c r="I2" s="136"/>
      <c r="J2" s="129" t="s">
        <v>24</v>
      </c>
    </row>
    <row r="3" spans="1:10" s="14" customFormat="1" ht="18" customHeight="1" x14ac:dyDescent="0.2">
      <c r="A3" s="126"/>
      <c r="B3" s="140"/>
      <c r="C3" s="128"/>
      <c r="D3" s="132" t="s">
        <v>13</v>
      </c>
      <c r="E3" s="133"/>
      <c r="F3" s="132" t="s">
        <v>14</v>
      </c>
      <c r="G3" s="133"/>
      <c r="H3" s="137"/>
      <c r="I3" s="138"/>
      <c r="J3" s="130"/>
    </row>
    <row r="4" spans="1:10" s="14" customFormat="1" ht="18" customHeight="1" x14ac:dyDescent="0.2">
      <c r="A4" s="127"/>
      <c r="B4" s="141"/>
      <c r="C4" s="128"/>
      <c r="D4" s="13" t="s">
        <v>23</v>
      </c>
      <c r="E4" s="13" t="s">
        <v>6</v>
      </c>
      <c r="F4" s="13" t="s">
        <v>23</v>
      </c>
      <c r="G4" s="13" t="s">
        <v>6</v>
      </c>
      <c r="H4" s="13" t="s">
        <v>23</v>
      </c>
      <c r="I4" s="13" t="s">
        <v>6</v>
      </c>
      <c r="J4" s="131"/>
    </row>
    <row r="5" spans="1:10" ht="15.75" customHeight="1" x14ac:dyDescent="0.2">
      <c r="A5" s="41" t="e">
        <f>'BACK SUMMARY'!#REF!</f>
        <v>#REF!</v>
      </c>
      <c r="B5" s="40" t="e">
        <f>'BACK SUMMARY'!A5</f>
        <v>#REF!</v>
      </c>
      <c r="C5" s="98" t="e">
        <f>'BACK SUMMARY'!B5</f>
        <v>#REF!</v>
      </c>
      <c r="D5" s="43"/>
      <c r="E5" s="43"/>
      <c r="F5" s="43" t="e">
        <f>#REF!</f>
        <v>#REF!</v>
      </c>
      <c r="G5" s="43" t="e">
        <f>#REF!</f>
        <v>#REF!</v>
      </c>
      <c r="H5" s="43" t="e">
        <f>F5-D5</f>
        <v>#REF!</v>
      </c>
      <c r="I5" s="43" t="e">
        <f>G5-E5</f>
        <v>#REF!</v>
      </c>
      <c r="J5" s="43" t="e">
        <f>G5-F5</f>
        <v>#REF!</v>
      </c>
    </row>
    <row r="6" spans="1:10" ht="15.75" customHeight="1" x14ac:dyDescent="0.2">
      <c r="A6" s="41" t="e">
        <f>'BACK SUMMARY'!#REF!</f>
        <v>#REF!</v>
      </c>
      <c r="B6" s="40" t="e">
        <f>'BACK SUMMARY'!A6</f>
        <v>#REF!</v>
      </c>
      <c r="C6" s="98" t="e">
        <f>'BACK SUMMARY'!B6</f>
        <v>#REF!</v>
      </c>
      <c r="D6" s="43"/>
      <c r="E6" s="43"/>
      <c r="F6" s="43" t="e">
        <f>#REF!</f>
        <v>#REF!</v>
      </c>
      <c r="G6" s="43" t="e">
        <f>#REF!</f>
        <v>#REF!</v>
      </c>
      <c r="H6" s="43" t="e">
        <f>F6-D6</f>
        <v>#REF!</v>
      </c>
      <c r="I6" s="43" t="e">
        <f>G6-E6</f>
        <v>#REF!</v>
      </c>
      <c r="J6" s="43" t="e">
        <f>G6-F6</f>
        <v>#REF!</v>
      </c>
    </row>
    <row r="7" spans="1:10" ht="15.75" customHeight="1" x14ac:dyDescent="0.2">
      <c r="A7" s="41" t="e">
        <f>'BACK SUMMARY'!#REF!</f>
        <v>#REF!</v>
      </c>
      <c r="B7" s="40" t="e">
        <f>'BACK SUMMARY'!A7</f>
        <v>#REF!</v>
      </c>
      <c r="C7" s="98" t="e">
        <f>'BACK SUMMARY'!B7</f>
        <v>#REF!</v>
      </c>
      <c r="D7" s="43"/>
      <c r="E7" s="43"/>
      <c r="F7" s="43" t="e">
        <f>#REF!</f>
        <v>#REF!</v>
      </c>
      <c r="G7" s="43" t="e">
        <f>#REF!</f>
        <v>#REF!</v>
      </c>
      <c r="H7" s="43" t="e">
        <f t="shared" ref="H7:H12" si="0">F7-D7</f>
        <v>#REF!</v>
      </c>
      <c r="I7" s="43" t="e">
        <f t="shared" ref="I7:I12" si="1">G7-E7</f>
        <v>#REF!</v>
      </c>
      <c r="J7" s="43" t="e">
        <f t="shared" ref="J7:J12" si="2">G7-F7</f>
        <v>#REF!</v>
      </c>
    </row>
    <row r="8" spans="1:10" ht="15.75" customHeight="1" x14ac:dyDescent="0.2">
      <c r="A8" s="41" t="e">
        <f>'BACK SUMMARY'!#REF!</f>
        <v>#REF!</v>
      </c>
      <c r="B8" s="40" t="e">
        <f>'BACK SUMMARY'!A8</f>
        <v>#REF!</v>
      </c>
      <c r="C8" s="98" t="e">
        <f>'BACK SUMMARY'!B8</f>
        <v>#REF!</v>
      </c>
      <c r="D8" s="94"/>
      <c r="E8" s="43"/>
      <c r="F8" s="43" t="e">
        <f>#REF!</f>
        <v>#REF!</v>
      </c>
      <c r="G8" s="43" t="e">
        <f>#REF!</f>
        <v>#REF!</v>
      </c>
      <c r="H8" s="43" t="e">
        <f t="shared" si="0"/>
        <v>#REF!</v>
      </c>
      <c r="I8" s="43" t="e">
        <f t="shared" si="1"/>
        <v>#REF!</v>
      </c>
      <c r="J8" s="43" t="e">
        <f t="shared" si="2"/>
        <v>#REF!</v>
      </c>
    </row>
    <row r="9" spans="1:10" ht="15.75" customHeight="1" x14ac:dyDescent="0.2">
      <c r="A9" s="41" t="e">
        <f>'BACK SUMMARY'!#REF!</f>
        <v>#REF!</v>
      </c>
      <c r="B9" s="40" t="e">
        <f>'BACK SUMMARY'!A9</f>
        <v>#REF!</v>
      </c>
      <c r="C9" s="98" t="e">
        <f>'BACK SUMMARY'!B9</f>
        <v>#REF!</v>
      </c>
      <c r="D9" s="43"/>
      <c r="E9" s="43"/>
      <c r="F9" s="43" t="e">
        <f>#REF!</f>
        <v>#REF!</v>
      </c>
      <c r="G9" s="43" t="e">
        <f>#REF!</f>
        <v>#REF!</v>
      </c>
      <c r="H9" s="43" t="e">
        <f t="shared" si="0"/>
        <v>#REF!</v>
      </c>
      <c r="I9" s="43" t="e">
        <f t="shared" si="1"/>
        <v>#REF!</v>
      </c>
      <c r="J9" s="43" t="e">
        <f t="shared" si="2"/>
        <v>#REF!</v>
      </c>
    </row>
    <row r="10" spans="1:10" ht="15.75" customHeight="1" x14ac:dyDescent="0.2">
      <c r="A10" s="41" t="e">
        <f>'BACK SUMMARY'!#REF!</f>
        <v>#REF!</v>
      </c>
      <c r="B10" s="40" t="e">
        <f>'BACK SUMMARY'!A10</f>
        <v>#REF!</v>
      </c>
      <c r="C10" s="98" t="e">
        <f>'BACK SUMMARY'!B10</f>
        <v>#REF!</v>
      </c>
      <c r="D10" s="43"/>
      <c r="E10" s="43"/>
      <c r="F10" s="43" t="e">
        <f>#REF!</f>
        <v>#REF!</v>
      </c>
      <c r="G10" s="43" t="e">
        <f>#REF!</f>
        <v>#REF!</v>
      </c>
      <c r="H10" s="43" t="e">
        <f t="shared" si="0"/>
        <v>#REF!</v>
      </c>
      <c r="I10" s="43" t="e">
        <f t="shared" si="1"/>
        <v>#REF!</v>
      </c>
      <c r="J10" s="43" t="e">
        <f t="shared" si="2"/>
        <v>#REF!</v>
      </c>
    </row>
    <row r="11" spans="1:10" ht="15.75" customHeight="1" x14ac:dyDescent="0.2">
      <c r="A11" s="41" t="e">
        <f>'BACK SUMMARY'!#REF!</f>
        <v>#REF!</v>
      </c>
      <c r="B11" s="40" t="e">
        <f>'BACK SUMMARY'!A11</f>
        <v>#REF!</v>
      </c>
      <c r="C11" s="98" t="e">
        <f>'BACK SUMMARY'!B11</f>
        <v>#REF!</v>
      </c>
      <c r="D11" s="43"/>
      <c r="E11" s="43"/>
      <c r="F11" s="43" t="e">
        <f>#REF!</f>
        <v>#REF!</v>
      </c>
      <c r="G11" s="43" t="e">
        <f>#REF!</f>
        <v>#REF!</v>
      </c>
      <c r="H11" s="43" t="e">
        <f t="shared" si="0"/>
        <v>#REF!</v>
      </c>
      <c r="I11" s="43" t="e">
        <f t="shared" si="1"/>
        <v>#REF!</v>
      </c>
      <c r="J11" s="43" t="e">
        <f t="shared" si="2"/>
        <v>#REF!</v>
      </c>
    </row>
    <row r="12" spans="1:10" ht="15.75" customHeight="1" x14ac:dyDescent="0.2">
      <c r="A12" s="41" t="e">
        <f>'BACK SUMMARY'!#REF!</f>
        <v>#REF!</v>
      </c>
      <c r="B12" s="40" t="e">
        <f>'BACK SUMMARY'!A12</f>
        <v>#REF!</v>
      </c>
      <c r="C12" s="98" t="e">
        <f>'BACK SUMMARY'!B12</f>
        <v>#REF!</v>
      </c>
      <c r="D12" s="43"/>
      <c r="E12" s="43"/>
      <c r="F12" s="43" t="e">
        <f>#REF!</f>
        <v>#REF!</v>
      </c>
      <c r="G12" s="43" t="e">
        <f>#REF!</f>
        <v>#REF!</v>
      </c>
      <c r="H12" s="43" t="e">
        <f t="shared" si="0"/>
        <v>#REF!</v>
      </c>
      <c r="I12" s="43" t="e">
        <f t="shared" si="1"/>
        <v>#REF!</v>
      </c>
      <c r="J12" s="43" t="e">
        <f t="shared" si="2"/>
        <v>#REF!</v>
      </c>
    </row>
    <row r="13" spans="1:10" ht="27.75" customHeight="1" x14ac:dyDescent="0.2">
      <c r="A13" s="16"/>
      <c r="B13" s="16"/>
      <c r="C13" s="42" t="e">
        <f t="shared" ref="C13:J13" si="3">SUM(C5:C12)</f>
        <v>#REF!</v>
      </c>
      <c r="D13" s="95">
        <f t="shared" si="3"/>
        <v>0</v>
      </c>
      <c r="E13" s="95">
        <f t="shared" si="3"/>
        <v>0</v>
      </c>
      <c r="F13" s="95" t="e">
        <f t="shared" si="3"/>
        <v>#REF!</v>
      </c>
      <c r="G13" s="95" t="e">
        <f t="shared" si="3"/>
        <v>#REF!</v>
      </c>
      <c r="H13" s="95" t="e">
        <f t="shared" si="3"/>
        <v>#REF!</v>
      </c>
      <c r="I13" s="95" t="e">
        <f t="shared" si="3"/>
        <v>#REF!</v>
      </c>
      <c r="J13" s="95" t="e">
        <f t="shared" si="3"/>
        <v>#REF!</v>
      </c>
    </row>
  </sheetData>
  <mergeCells count="8">
    <mergeCell ref="A2:A4"/>
    <mergeCell ref="C2:C4"/>
    <mergeCell ref="J2:J4"/>
    <mergeCell ref="D3:E3"/>
    <mergeCell ref="F3:G3"/>
    <mergeCell ref="D2:G2"/>
    <mergeCell ref="H2:I3"/>
    <mergeCell ref="B2:B4"/>
  </mergeCells>
  <phoneticPr fontId="0" type="noConversion"/>
  <conditionalFormatting sqref="D5:J12">
    <cfRule type="cellIs" dxfId="0" priority="1" stopIfTrue="1" operator="equal">
      <formula>0</formula>
    </cfRule>
  </conditionalFormatting>
  <printOptions horizontalCentered="1"/>
  <pageMargins left="0.75" right="0.75" top="1" bottom="1" header="0.5" footer="0.5"/>
  <pageSetup paperSize="9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3:BR69"/>
  <sheetViews>
    <sheetView zoomScale="75" workbookViewId="0">
      <pane xSplit="3" ySplit="4" topLeftCell="D5" activePane="bottomRight" state="frozen"/>
      <selection activeCell="C7" sqref="C7"/>
      <selection pane="topRight" activeCell="C7" sqref="C7"/>
      <selection pane="bottomLeft" activeCell="C7" sqref="C7"/>
      <selection pane="bottomRight" activeCell="D5" sqref="D5"/>
    </sheetView>
  </sheetViews>
  <sheetFormatPr defaultRowHeight="12.75" x14ac:dyDescent="0.2"/>
  <cols>
    <col min="1" max="1" width="63.42578125" bestFit="1" customWidth="1"/>
    <col min="2" max="2" width="11.5703125" customWidth="1"/>
    <col min="3" max="3" width="19.140625" bestFit="1" customWidth="1"/>
    <col min="4" max="4" width="11.5703125" bestFit="1" customWidth="1"/>
    <col min="5" max="5" width="11.7109375" bestFit="1" customWidth="1"/>
    <col min="6" max="9" width="12.5703125" bestFit="1" customWidth="1"/>
    <col min="10" max="14" width="11.7109375" bestFit="1" customWidth="1"/>
    <col min="15" max="24" width="11.5703125" bestFit="1" customWidth="1"/>
    <col min="25" max="25" width="11.28515625" customWidth="1"/>
    <col min="26" max="26" width="9.7109375" customWidth="1"/>
    <col min="27" max="27" width="9.85546875" customWidth="1"/>
    <col min="28" max="29" width="9.7109375" customWidth="1"/>
    <col min="30" max="31" width="9.85546875" customWidth="1"/>
    <col min="32" max="32" width="11.5703125" customWidth="1"/>
    <col min="33" max="33" width="9.85546875" customWidth="1"/>
    <col min="34" max="34" width="10.28515625" customWidth="1"/>
    <col min="35" max="35" width="10.85546875" customWidth="1"/>
    <col min="36" max="36" width="10.42578125" customWidth="1"/>
    <col min="37" max="37" width="10.28515625" customWidth="1"/>
    <col min="38" max="38" width="10.7109375" customWidth="1"/>
    <col min="39" max="39" width="10.42578125" customWidth="1"/>
    <col min="40" max="53" width="11.5703125" bestFit="1" customWidth="1"/>
    <col min="54" max="54" width="12.140625" customWidth="1"/>
    <col min="55" max="55" width="10.28515625" customWidth="1"/>
    <col min="56" max="56" width="9.85546875" customWidth="1"/>
    <col min="57" max="57" width="10.28515625" customWidth="1"/>
    <col min="58" max="58" width="10.140625" customWidth="1"/>
    <col min="59" max="70" width="11.5703125" bestFit="1" customWidth="1"/>
  </cols>
  <sheetData>
    <row r="3" spans="1:70" x14ac:dyDescent="0.2"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>
        <v>52</v>
      </c>
      <c r="BD3" s="1">
        <v>53</v>
      </c>
      <c r="BE3" s="1">
        <v>54</v>
      </c>
      <c r="BF3" s="1">
        <v>55</v>
      </c>
    </row>
    <row r="4" spans="1:70" ht="13.5" x14ac:dyDescent="0.25">
      <c r="A4" s="8"/>
      <c r="B4" s="8"/>
      <c r="C4" s="9"/>
      <c r="D4" s="10">
        <v>41325</v>
      </c>
      <c r="E4" s="10">
        <f>+D4+7</f>
        <v>41332</v>
      </c>
      <c r="F4" s="10">
        <f>+E4+7</f>
        <v>41339</v>
      </c>
      <c r="G4" s="11">
        <f t="shared" ref="G4:R4" si="0">+F4+7</f>
        <v>41346</v>
      </c>
      <c r="H4" s="11">
        <f t="shared" si="0"/>
        <v>41353</v>
      </c>
      <c r="I4" s="11">
        <f t="shared" si="0"/>
        <v>41360</v>
      </c>
      <c r="J4" s="11">
        <f t="shared" si="0"/>
        <v>41367</v>
      </c>
      <c r="K4" s="10">
        <f t="shared" si="0"/>
        <v>41374</v>
      </c>
      <c r="L4" s="10">
        <f t="shared" si="0"/>
        <v>41381</v>
      </c>
      <c r="M4" s="10">
        <f t="shared" si="0"/>
        <v>41388</v>
      </c>
      <c r="N4" s="10">
        <f t="shared" si="0"/>
        <v>41395</v>
      </c>
      <c r="O4" s="10">
        <f t="shared" si="0"/>
        <v>41402</v>
      </c>
      <c r="P4" s="10">
        <f t="shared" si="0"/>
        <v>41409</v>
      </c>
      <c r="Q4" s="10">
        <f t="shared" si="0"/>
        <v>41416</v>
      </c>
      <c r="R4" s="10">
        <f t="shared" si="0"/>
        <v>41423</v>
      </c>
      <c r="S4" s="10">
        <f t="shared" ref="S4:BK4" si="1">+R4+7</f>
        <v>41430</v>
      </c>
      <c r="T4" s="10">
        <f t="shared" si="1"/>
        <v>41437</v>
      </c>
      <c r="U4" s="10">
        <f t="shared" si="1"/>
        <v>41444</v>
      </c>
      <c r="V4" s="10">
        <f t="shared" si="1"/>
        <v>41451</v>
      </c>
      <c r="W4" s="10">
        <f t="shared" si="1"/>
        <v>41458</v>
      </c>
      <c r="X4" s="10">
        <f t="shared" si="1"/>
        <v>41465</v>
      </c>
      <c r="Y4" s="10">
        <f t="shared" si="1"/>
        <v>41472</v>
      </c>
      <c r="Z4" s="10">
        <f t="shared" si="1"/>
        <v>41479</v>
      </c>
      <c r="AA4" s="10">
        <f t="shared" si="1"/>
        <v>41486</v>
      </c>
      <c r="AB4" s="10">
        <f t="shared" si="1"/>
        <v>41493</v>
      </c>
      <c r="AC4" s="10">
        <f t="shared" si="1"/>
        <v>41500</v>
      </c>
      <c r="AD4" s="10">
        <f t="shared" si="1"/>
        <v>41507</v>
      </c>
      <c r="AE4" s="10">
        <f t="shared" si="1"/>
        <v>41514</v>
      </c>
      <c r="AF4" s="10">
        <f t="shared" si="1"/>
        <v>41521</v>
      </c>
      <c r="AG4" s="10">
        <f t="shared" si="1"/>
        <v>41528</v>
      </c>
      <c r="AH4" s="10">
        <f t="shared" si="1"/>
        <v>41535</v>
      </c>
      <c r="AI4" s="10">
        <f t="shared" si="1"/>
        <v>41542</v>
      </c>
      <c r="AJ4" s="10">
        <f t="shared" si="1"/>
        <v>41549</v>
      </c>
      <c r="AK4" s="10">
        <f t="shared" si="1"/>
        <v>41556</v>
      </c>
      <c r="AL4" s="10">
        <f t="shared" si="1"/>
        <v>41563</v>
      </c>
      <c r="AM4" s="10">
        <f t="shared" si="1"/>
        <v>41570</v>
      </c>
      <c r="AN4" s="10">
        <f t="shared" si="1"/>
        <v>41577</v>
      </c>
      <c r="AO4" s="10">
        <f t="shared" si="1"/>
        <v>41584</v>
      </c>
      <c r="AP4" s="10">
        <f t="shared" si="1"/>
        <v>41591</v>
      </c>
      <c r="AQ4" s="10">
        <f t="shared" si="1"/>
        <v>41598</v>
      </c>
      <c r="AR4" s="10">
        <f t="shared" si="1"/>
        <v>41605</v>
      </c>
      <c r="AS4" s="10">
        <f t="shared" si="1"/>
        <v>41612</v>
      </c>
      <c r="AT4" s="10">
        <f t="shared" si="1"/>
        <v>41619</v>
      </c>
      <c r="AU4" s="10">
        <f t="shared" si="1"/>
        <v>41626</v>
      </c>
      <c r="AV4" s="10">
        <f t="shared" si="1"/>
        <v>41633</v>
      </c>
      <c r="AW4" s="10">
        <f t="shared" si="1"/>
        <v>41640</v>
      </c>
      <c r="AX4" s="10">
        <f t="shared" si="1"/>
        <v>41647</v>
      </c>
      <c r="AY4" s="10">
        <f t="shared" si="1"/>
        <v>41654</v>
      </c>
      <c r="AZ4" s="10">
        <f t="shared" si="1"/>
        <v>41661</v>
      </c>
      <c r="BA4" s="10">
        <f t="shared" si="1"/>
        <v>41668</v>
      </c>
      <c r="BB4" s="10">
        <f t="shared" si="1"/>
        <v>41675</v>
      </c>
      <c r="BC4" s="10">
        <f t="shared" si="1"/>
        <v>41682</v>
      </c>
      <c r="BD4" s="10">
        <f t="shared" si="1"/>
        <v>41689</v>
      </c>
      <c r="BE4" s="10">
        <f t="shared" si="1"/>
        <v>41696</v>
      </c>
      <c r="BF4" s="10">
        <f t="shared" si="1"/>
        <v>41703</v>
      </c>
      <c r="BG4" s="10">
        <f t="shared" si="1"/>
        <v>41710</v>
      </c>
      <c r="BH4" s="10">
        <f t="shared" si="1"/>
        <v>41717</v>
      </c>
      <c r="BI4" s="10">
        <f t="shared" si="1"/>
        <v>41724</v>
      </c>
      <c r="BJ4" s="10">
        <f t="shared" si="1"/>
        <v>41731</v>
      </c>
      <c r="BK4" s="10">
        <f t="shared" si="1"/>
        <v>41738</v>
      </c>
    </row>
    <row r="5" spans="1:70" ht="25.5" customHeight="1" x14ac:dyDescent="0.2">
      <c r="A5" s="24" t="e">
        <f>'BACK SUMMARY'!A5</f>
        <v>#REF!</v>
      </c>
      <c r="B5" s="31" t="e">
        <f>'BACK SUMMARY'!B5</f>
        <v>#REF!</v>
      </c>
      <c r="C5" s="19" t="e">
        <f>'BACK SUMMARY'!C5</f>
        <v>#REF!</v>
      </c>
      <c r="D5" s="12" t="e">
        <f>SUM(#REF!)</f>
        <v>#REF!</v>
      </c>
      <c r="E5" s="12" t="e">
        <f>SUM(#REF!)</f>
        <v>#REF!</v>
      </c>
      <c r="F5" s="12" t="e">
        <f>SUM(#REF!)</f>
        <v>#REF!</v>
      </c>
      <c r="G5" s="12" t="e">
        <f>SUM(#REF!)</f>
        <v>#REF!</v>
      </c>
      <c r="H5" s="12" t="e">
        <f>SUM(#REF!)</f>
        <v>#REF!</v>
      </c>
      <c r="I5" s="12" t="e">
        <f>SUM(#REF!)</f>
        <v>#REF!</v>
      </c>
      <c r="J5" s="12" t="e">
        <f>SUM(#REF!)</f>
        <v>#REF!</v>
      </c>
      <c r="K5" s="12" t="e">
        <f>SUM(#REF!)</f>
        <v>#REF!</v>
      </c>
      <c r="L5" s="12" t="e">
        <f>SUM(#REF!)</f>
        <v>#REF!</v>
      </c>
      <c r="M5" s="12" t="e">
        <f>SUM(#REF!)</f>
        <v>#REF!</v>
      </c>
      <c r="N5" s="12" t="e">
        <f>SUM(#REF!)</f>
        <v>#REF!</v>
      </c>
      <c r="O5" s="12" t="e">
        <f>SUM(#REF!)</f>
        <v>#REF!</v>
      </c>
      <c r="P5" s="12" t="e">
        <f>SUM(#REF!)</f>
        <v>#REF!</v>
      </c>
      <c r="Q5" s="12" t="e">
        <f>SUM(#REF!)</f>
        <v>#REF!</v>
      </c>
      <c r="R5" s="12" t="e">
        <f>SUM(#REF!)</f>
        <v>#REF!</v>
      </c>
      <c r="S5" s="12" t="e">
        <f>SUM(#REF!)</f>
        <v>#REF!</v>
      </c>
      <c r="T5" s="12" t="e">
        <f>SUM(#REF!)</f>
        <v>#REF!</v>
      </c>
      <c r="U5" s="12" t="e">
        <f>SUM(#REF!)</f>
        <v>#REF!</v>
      </c>
      <c r="V5" s="12" t="e">
        <f>SUM(#REF!)</f>
        <v>#REF!</v>
      </c>
      <c r="W5" s="12" t="e">
        <f>SUM(#REF!)</f>
        <v>#REF!</v>
      </c>
      <c r="X5" s="12" t="e">
        <f>SUM(#REF!)</f>
        <v>#REF!</v>
      </c>
      <c r="Y5" s="12" t="e">
        <f>SUM(#REF!)</f>
        <v>#REF!</v>
      </c>
      <c r="Z5" s="12" t="e">
        <f>SUM(#REF!)</f>
        <v>#REF!</v>
      </c>
      <c r="AA5" s="12" t="e">
        <f>SUM(#REF!)</f>
        <v>#REF!</v>
      </c>
      <c r="AB5" s="12" t="e">
        <f>SUM(#REF!)</f>
        <v>#REF!</v>
      </c>
      <c r="AC5" s="12" t="e">
        <f>SUM(#REF!)</f>
        <v>#REF!</v>
      </c>
      <c r="AD5" s="12" t="e">
        <f>SUM(#REF!)</f>
        <v>#REF!</v>
      </c>
      <c r="AE5" s="12" t="e">
        <f>SUM(#REF!)</f>
        <v>#REF!</v>
      </c>
      <c r="AF5" s="12" t="e">
        <f>SUM(#REF!)</f>
        <v>#REF!</v>
      </c>
      <c r="AG5" s="12" t="e">
        <f>SUM(#REF!)</f>
        <v>#REF!</v>
      </c>
      <c r="AH5" s="12" t="e">
        <f>SUM(#REF!)</f>
        <v>#REF!</v>
      </c>
      <c r="AI5" s="12" t="e">
        <f>SUM(#REF!)</f>
        <v>#REF!</v>
      </c>
      <c r="AJ5" s="12" t="e">
        <f>SUM(#REF!)</f>
        <v>#REF!</v>
      </c>
      <c r="AK5" s="12" t="e">
        <f>SUM(#REF!)</f>
        <v>#REF!</v>
      </c>
      <c r="AL5" s="12" t="e">
        <f>SUM(#REF!)</f>
        <v>#REF!</v>
      </c>
      <c r="AM5" s="12" t="e">
        <f>SUM(#REF!)</f>
        <v>#REF!</v>
      </c>
      <c r="AN5" s="12" t="e">
        <f>SUM(#REF!)</f>
        <v>#REF!</v>
      </c>
      <c r="AO5" s="12" t="e">
        <f>SUM(#REF!)</f>
        <v>#REF!</v>
      </c>
      <c r="AP5" s="12" t="e">
        <f>SUM(#REF!)</f>
        <v>#REF!</v>
      </c>
      <c r="AQ5" s="12" t="e">
        <f>SUM(#REF!)</f>
        <v>#REF!</v>
      </c>
      <c r="AR5" s="12" t="e">
        <f>SUM(#REF!)</f>
        <v>#REF!</v>
      </c>
      <c r="AS5" s="12" t="e">
        <f>SUM(#REF!)</f>
        <v>#REF!</v>
      </c>
      <c r="AT5" s="12" t="e">
        <f>SUM(#REF!)</f>
        <v>#REF!</v>
      </c>
      <c r="AU5" s="12" t="e">
        <f>SUM(#REF!)</f>
        <v>#REF!</v>
      </c>
      <c r="AV5" s="12" t="e">
        <f>SUM(#REF!)</f>
        <v>#REF!</v>
      </c>
      <c r="AW5" s="12" t="e">
        <f>SUM(#REF!)</f>
        <v>#REF!</v>
      </c>
      <c r="AX5" s="12" t="e">
        <f>SUM(#REF!)</f>
        <v>#REF!</v>
      </c>
      <c r="AY5" s="12" t="e">
        <f>SUM(#REF!)</f>
        <v>#REF!</v>
      </c>
      <c r="AZ5" s="12" t="e">
        <f>SUM(#REF!)</f>
        <v>#REF!</v>
      </c>
      <c r="BA5" s="12" t="e">
        <f>SUM(#REF!)</f>
        <v>#REF!</v>
      </c>
      <c r="BB5" s="12" t="e">
        <f>SUM(#REF!)</f>
        <v>#REF!</v>
      </c>
      <c r="BC5" s="12" t="e">
        <f>SUM(#REF!)</f>
        <v>#REF!</v>
      </c>
      <c r="BD5" s="12" t="e">
        <f>SUM(#REF!)</f>
        <v>#REF!</v>
      </c>
      <c r="BE5" s="12" t="e">
        <f>SUM(#REF!)</f>
        <v>#REF!</v>
      </c>
      <c r="BF5" s="12" t="e">
        <f>SUM(#REF!)</f>
        <v>#REF!</v>
      </c>
      <c r="BG5" s="12" t="e">
        <f>SUM(#REF!)</f>
        <v>#REF!</v>
      </c>
      <c r="BH5" s="12" t="e">
        <f>SUM(#REF!)</f>
        <v>#REF!</v>
      </c>
      <c r="BI5" s="12" t="e">
        <f>SUM(#REF!)</f>
        <v>#REF!</v>
      </c>
      <c r="BJ5" s="12" t="e">
        <f>SUM(#REF!)</f>
        <v>#REF!</v>
      </c>
      <c r="BK5" s="12" t="e">
        <f>SUM(#REF!)</f>
        <v>#REF!</v>
      </c>
    </row>
    <row r="6" spans="1:70" ht="25.5" customHeight="1" x14ac:dyDescent="0.2">
      <c r="A6" s="24" t="e">
        <f>'BACK SUMMARY'!A6</f>
        <v>#REF!</v>
      </c>
      <c r="B6" s="31" t="e">
        <f>'BACK SUMMARY'!B6</f>
        <v>#REF!</v>
      </c>
      <c r="C6" s="19" t="e">
        <f>'BACK SUMMARY'!C6</f>
        <v>#REF!</v>
      </c>
      <c r="D6" s="12" t="e">
        <f>SUM(#REF!)</f>
        <v>#REF!</v>
      </c>
      <c r="E6" s="12" t="e">
        <f>SUM(#REF!)</f>
        <v>#REF!</v>
      </c>
      <c r="F6" s="12" t="e">
        <f>SUM(#REF!)</f>
        <v>#REF!</v>
      </c>
      <c r="G6" s="12" t="e">
        <f>SUM(#REF!)</f>
        <v>#REF!</v>
      </c>
      <c r="H6" s="12" t="e">
        <f>SUM(#REF!)</f>
        <v>#REF!</v>
      </c>
      <c r="I6" s="12" t="e">
        <f>SUM(#REF!)</f>
        <v>#REF!</v>
      </c>
      <c r="J6" s="12" t="e">
        <f>SUM(#REF!)</f>
        <v>#REF!</v>
      </c>
      <c r="K6" s="12" t="e">
        <f>SUM(#REF!)</f>
        <v>#REF!</v>
      </c>
      <c r="L6" s="12" t="e">
        <f>SUM(#REF!)</f>
        <v>#REF!</v>
      </c>
      <c r="M6" s="12" t="e">
        <f>SUM(#REF!)</f>
        <v>#REF!</v>
      </c>
      <c r="N6" s="12" t="e">
        <f>SUM(#REF!)</f>
        <v>#REF!</v>
      </c>
      <c r="O6" s="12" t="e">
        <f>SUM(#REF!)</f>
        <v>#REF!</v>
      </c>
      <c r="P6" s="12" t="e">
        <f>SUM(#REF!)</f>
        <v>#REF!</v>
      </c>
      <c r="Q6" s="12" t="e">
        <f>SUM(#REF!)</f>
        <v>#REF!</v>
      </c>
      <c r="R6" s="12" t="e">
        <f>SUM(#REF!)</f>
        <v>#REF!</v>
      </c>
      <c r="S6" s="12" t="e">
        <f>SUM(#REF!)</f>
        <v>#REF!</v>
      </c>
      <c r="T6" s="12" t="e">
        <f>SUM(#REF!)</f>
        <v>#REF!</v>
      </c>
      <c r="U6" s="12" t="e">
        <f>SUM(#REF!)</f>
        <v>#REF!</v>
      </c>
      <c r="V6" s="12" t="e">
        <f>SUM(#REF!)</f>
        <v>#REF!</v>
      </c>
      <c r="W6" s="12" t="e">
        <f>SUM(#REF!)</f>
        <v>#REF!</v>
      </c>
      <c r="X6" s="12" t="e">
        <f>SUM(#REF!)</f>
        <v>#REF!</v>
      </c>
      <c r="Y6" s="12" t="e">
        <f>SUM(#REF!)</f>
        <v>#REF!</v>
      </c>
      <c r="Z6" s="12" t="e">
        <f>SUM(#REF!)</f>
        <v>#REF!</v>
      </c>
      <c r="AA6" s="12" t="e">
        <f>SUM(#REF!)</f>
        <v>#REF!</v>
      </c>
      <c r="AB6" s="12" t="e">
        <f>SUM(#REF!)</f>
        <v>#REF!</v>
      </c>
      <c r="AC6" s="12" t="e">
        <f>SUM(#REF!)</f>
        <v>#REF!</v>
      </c>
      <c r="AD6" s="12" t="e">
        <f>SUM(#REF!)</f>
        <v>#REF!</v>
      </c>
      <c r="AE6" s="12" t="e">
        <f>SUM(#REF!)</f>
        <v>#REF!</v>
      </c>
      <c r="AF6" s="12" t="e">
        <f>SUM(#REF!)</f>
        <v>#REF!</v>
      </c>
      <c r="AG6" s="12" t="e">
        <f>SUM(#REF!)</f>
        <v>#REF!</v>
      </c>
      <c r="AH6" s="12" t="e">
        <f>SUM(#REF!)</f>
        <v>#REF!</v>
      </c>
      <c r="AI6" s="12" t="e">
        <f>SUM(#REF!)</f>
        <v>#REF!</v>
      </c>
      <c r="AJ6" s="12" t="e">
        <f>SUM(#REF!)</f>
        <v>#REF!</v>
      </c>
      <c r="AK6" s="12" t="e">
        <f>SUM(#REF!)</f>
        <v>#REF!</v>
      </c>
      <c r="AL6" s="12" t="e">
        <f>SUM(#REF!)</f>
        <v>#REF!</v>
      </c>
      <c r="AM6" s="12" t="e">
        <f>SUM(#REF!)</f>
        <v>#REF!</v>
      </c>
      <c r="AN6" s="12" t="e">
        <f>SUM(#REF!)</f>
        <v>#REF!</v>
      </c>
      <c r="AO6" s="12" t="e">
        <f>SUM(#REF!)</f>
        <v>#REF!</v>
      </c>
      <c r="AP6" s="12" t="e">
        <f>SUM(#REF!)</f>
        <v>#REF!</v>
      </c>
      <c r="AQ6" s="12" t="e">
        <f>SUM(#REF!)</f>
        <v>#REF!</v>
      </c>
      <c r="AR6" s="12" t="e">
        <f>SUM(#REF!)</f>
        <v>#REF!</v>
      </c>
      <c r="AS6" s="12" t="e">
        <f>SUM(#REF!)</f>
        <v>#REF!</v>
      </c>
      <c r="AT6" s="12" t="e">
        <f>SUM(#REF!)</f>
        <v>#REF!</v>
      </c>
      <c r="AU6" s="12" t="e">
        <f>SUM(#REF!)</f>
        <v>#REF!</v>
      </c>
      <c r="AV6" s="12" t="e">
        <f>SUM(#REF!)</f>
        <v>#REF!</v>
      </c>
      <c r="AW6" s="12" t="e">
        <f>SUM(#REF!)</f>
        <v>#REF!</v>
      </c>
      <c r="AX6" s="12" t="e">
        <f>SUM(#REF!)</f>
        <v>#REF!</v>
      </c>
      <c r="AY6" s="12" t="e">
        <f>SUM(#REF!)</f>
        <v>#REF!</v>
      </c>
      <c r="AZ6" s="12" t="e">
        <f>SUM(#REF!)</f>
        <v>#REF!</v>
      </c>
      <c r="BA6" s="12" t="e">
        <f>SUM(#REF!)</f>
        <v>#REF!</v>
      </c>
      <c r="BB6" s="12" t="e">
        <f>SUM(#REF!)</f>
        <v>#REF!</v>
      </c>
      <c r="BC6" s="12" t="e">
        <f>SUM(#REF!)</f>
        <v>#REF!</v>
      </c>
      <c r="BD6" s="12" t="e">
        <f>SUM(#REF!)</f>
        <v>#REF!</v>
      </c>
      <c r="BE6" s="12" t="e">
        <f>SUM(#REF!)</f>
        <v>#REF!</v>
      </c>
      <c r="BF6" s="12" t="e">
        <f>SUM(#REF!)</f>
        <v>#REF!</v>
      </c>
      <c r="BG6" s="12" t="e">
        <f>SUM(#REF!)</f>
        <v>#REF!</v>
      </c>
      <c r="BH6" s="12" t="e">
        <f>SUM(#REF!)</f>
        <v>#REF!</v>
      </c>
      <c r="BI6" s="12" t="e">
        <f>SUM(#REF!)</f>
        <v>#REF!</v>
      </c>
      <c r="BJ6" s="12" t="e">
        <f>SUM(#REF!)</f>
        <v>#REF!</v>
      </c>
      <c r="BK6" s="12" t="e">
        <f>SUM(#REF!)</f>
        <v>#REF!</v>
      </c>
    </row>
    <row r="7" spans="1:70" ht="25.5" customHeight="1" x14ac:dyDescent="0.2">
      <c r="A7" s="24" t="e">
        <f>'BACK SUMMARY'!A7</f>
        <v>#REF!</v>
      </c>
      <c r="B7" s="31" t="e">
        <f>'BACK SUMMARY'!B7</f>
        <v>#REF!</v>
      </c>
      <c r="C7" s="19" t="e">
        <f>'BACK SUMMARY'!C7</f>
        <v>#REF!</v>
      </c>
      <c r="D7" s="12" t="e">
        <f>SUM(#REF!)</f>
        <v>#REF!</v>
      </c>
      <c r="E7" s="12" t="e">
        <f>SUM(#REF!)</f>
        <v>#REF!</v>
      </c>
      <c r="F7" s="12" t="e">
        <f>SUM(#REF!)</f>
        <v>#REF!</v>
      </c>
      <c r="G7" s="12" t="e">
        <f>SUM(#REF!)</f>
        <v>#REF!</v>
      </c>
      <c r="H7" s="12" t="e">
        <f>SUM(#REF!)</f>
        <v>#REF!</v>
      </c>
      <c r="I7" s="12" t="e">
        <f>SUM(#REF!)</f>
        <v>#REF!</v>
      </c>
      <c r="J7" s="12" t="e">
        <f>SUM(#REF!)</f>
        <v>#REF!</v>
      </c>
      <c r="K7" s="12" t="e">
        <f>SUM(#REF!)</f>
        <v>#REF!</v>
      </c>
      <c r="L7" s="12" t="e">
        <f>SUM(#REF!)</f>
        <v>#REF!</v>
      </c>
      <c r="M7" s="12" t="e">
        <f>SUM(#REF!)</f>
        <v>#REF!</v>
      </c>
      <c r="N7" s="12" t="e">
        <f>SUM(#REF!)</f>
        <v>#REF!</v>
      </c>
      <c r="O7" s="12" t="e">
        <f>SUM(#REF!)</f>
        <v>#REF!</v>
      </c>
      <c r="P7" s="12" t="e">
        <f>SUM(#REF!)</f>
        <v>#REF!</v>
      </c>
      <c r="Q7" s="12" t="e">
        <f>SUM(#REF!)</f>
        <v>#REF!</v>
      </c>
      <c r="R7" s="12" t="e">
        <f>SUM(#REF!)</f>
        <v>#REF!</v>
      </c>
      <c r="S7" s="12" t="e">
        <f>SUM(#REF!)</f>
        <v>#REF!</v>
      </c>
      <c r="T7" s="12" t="e">
        <f>SUM(#REF!)</f>
        <v>#REF!</v>
      </c>
      <c r="U7" s="12" t="e">
        <f>SUM(#REF!)</f>
        <v>#REF!</v>
      </c>
      <c r="V7" s="12" t="e">
        <f>SUM(#REF!)</f>
        <v>#REF!</v>
      </c>
      <c r="W7" s="12" t="e">
        <f>SUM(#REF!)</f>
        <v>#REF!</v>
      </c>
      <c r="X7" s="12" t="e">
        <f>SUM(#REF!)</f>
        <v>#REF!</v>
      </c>
      <c r="Y7" s="12" t="e">
        <f>SUM(#REF!)</f>
        <v>#REF!</v>
      </c>
      <c r="Z7" s="12" t="e">
        <f>SUM(#REF!)</f>
        <v>#REF!</v>
      </c>
      <c r="AA7" s="12" t="e">
        <f>SUM(#REF!)</f>
        <v>#REF!</v>
      </c>
      <c r="AB7" s="12" t="e">
        <f>SUM(#REF!)</f>
        <v>#REF!</v>
      </c>
      <c r="AC7" s="12" t="e">
        <f>SUM(#REF!)</f>
        <v>#REF!</v>
      </c>
      <c r="AD7" s="12" t="e">
        <f>SUM(#REF!)</f>
        <v>#REF!</v>
      </c>
      <c r="AE7" s="12" t="e">
        <f>SUM(#REF!)</f>
        <v>#REF!</v>
      </c>
      <c r="AF7" s="12" t="e">
        <f>SUM(#REF!)</f>
        <v>#REF!</v>
      </c>
      <c r="AG7" s="12" t="e">
        <f>SUM(#REF!)</f>
        <v>#REF!</v>
      </c>
      <c r="AH7" s="12" t="e">
        <f>SUM(#REF!)</f>
        <v>#REF!</v>
      </c>
      <c r="AI7" s="12" t="e">
        <f>SUM(#REF!)</f>
        <v>#REF!</v>
      </c>
      <c r="AJ7" s="12" t="e">
        <f>SUM(#REF!)</f>
        <v>#REF!</v>
      </c>
      <c r="AK7" s="12" t="e">
        <f>SUM(#REF!)</f>
        <v>#REF!</v>
      </c>
      <c r="AL7" s="12" t="e">
        <f>SUM(#REF!)</f>
        <v>#REF!</v>
      </c>
      <c r="AM7" s="12" t="e">
        <f>SUM(#REF!)</f>
        <v>#REF!</v>
      </c>
      <c r="AN7" s="12" t="e">
        <f>SUM(#REF!)</f>
        <v>#REF!</v>
      </c>
      <c r="AO7" s="12" t="e">
        <f>SUM(#REF!)</f>
        <v>#REF!</v>
      </c>
      <c r="AP7" s="12" t="e">
        <f>SUM(#REF!)</f>
        <v>#REF!</v>
      </c>
      <c r="AQ7" s="12" t="e">
        <f>SUM(#REF!)</f>
        <v>#REF!</v>
      </c>
      <c r="AR7" s="12" t="e">
        <f>SUM(#REF!)</f>
        <v>#REF!</v>
      </c>
      <c r="AS7" s="12" t="e">
        <f>SUM(#REF!)</f>
        <v>#REF!</v>
      </c>
      <c r="AT7" s="12" t="e">
        <f>SUM(#REF!)</f>
        <v>#REF!</v>
      </c>
      <c r="AU7" s="12" t="e">
        <f>SUM(#REF!)</f>
        <v>#REF!</v>
      </c>
      <c r="AV7" s="12" t="e">
        <f>SUM(#REF!)</f>
        <v>#REF!</v>
      </c>
      <c r="AW7" s="12" t="e">
        <f>SUM(#REF!)</f>
        <v>#REF!</v>
      </c>
      <c r="AX7" s="12" t="e">
        <f>SUM(#REF!)</f>
        <v>#REF!</v>
      </c>
      <c r="AY7" s="12" t="e">
        <f>SUM(#REF!)</f>
        <v>#REF!</v>
      </c>
      <c r="AZ7" s="12" t="e">
        <f>SUM(#REF!)</f>
        <v>#REF!</v>
      </c>
      <c r="BA7" s="12" t="e">
        <f>SUM(#REF!)</f>
        <v>#REF!</v>
      </c>
      <c r="BB7" s="12" t="e">
        <f>SUM(#REF!)</f>
        <v>#REF!</v>
      </c>
      <c r="BC7" s="12" t="e">
        <f>SUM(#REF!)</f>
        <v>#REF!</v>
      </c>
      <c r="BD7" s="12" t="e">
        <f>SUM(#REF!)</f>
        <v>#REF!</v>
      </c>
      <c r="BE7" s="12" t="e">
        <f>SUM(#REF!)</f>
        <v>#REF!</v>
      </c>
      <c r="BF7" s="12" t="e">
        <f>SUM(#REF!)</f>
        <v>#REF!</v>
      </c>
      <c r="BG7" s="12" t="e">
        <f>SUM(#REF!)</f>
        <v>#REF!</v>
      </c>
      <c r="BH7" s="12" t="e">
        <f>SUM(#REF!)</f>
        <v>#REF!</v>
      </c>
      <c r="BI7" s="12" t="e">
        <f>SUM(#REF!)</f>
        <v>#REF!</v>
      </c>
      <c r="BJ7" s="12" t="e">
        <f>SUM(#REF!)</f>
        <v>#REF!</v>
      </c>
      <c r="BK7" s="12" t="e">
        <f>SUM(#REF!)</f>
        <v>#REF!</v>
      </c>
    </row>
    <row r="8" spans="1:70" ht="25.5" customHeight="1" x14ac:dyDescent="0.2">
      <c r="A8" s="24" t="e">
        <f>'BACK SUMMARY'!A8</f>
        <v>#REF!</v>
      </c>
      <c r="B8" s="31" t="e">
        <f>'BACK SUMMARY'!B8</f>
        <v>#REF!</v>
      </c>
      <c r="C8" s="19" t="e">
        <f>'BACK SUMMARY'!C8</f>
        <v>#REF!</v>
      </c>
      <c r="D8" s="12" t="e">
        <f>SUM(#REF!)</f>
        <v>#REF!</v>
      </c>
      <c r="E8" s="12" t="e">
        <f>SUM(#REF!)</f>
        <v>#REF!</v>
      </c>
      <c r="F8" s="12" t="e">
        <f>SUM(#REF!)</f>
        <v>#REF!</v>
      </c>
      <c r="G8" s="12" t="e">
        <f>SUM(#REF!)</f>
        <v>#REF!</v>
      </c>
      <c r="H8" s="12" t="e">
        <f>SUM(#REF!)</f>
        <v>#REF!</v>
      </c>
      <c r="I8" s="12" t="e">
        <f>SUM(#REF!)</f>
        <v>#REF!</v>
      </c>
      <c r="J8" s="12" t="e">
        <f>SUM(#REF!)</f>
        <v>#REF!</v>
      </c>
      <c r="K8" s="12" t="e">
        <f>SUM(#REF!)</f>
        <v>#REF!</v>
      </c>
      <c r="L8" s="12" t="e">
        <f>SUM(#REF!)</f>
        <v>#REF!</v>
      </c>
      <c r="M8" s="12" t="e">
        <f>SUM(#REF!)</f>
        <v>#REF!</v>
      </c>
      <c r="N8" s="12" t="e">
        <f>SUM(#REF!)</f>
        <v>#REF!</v>
      </c>
      <c r="O8" s="12" t="e">
        <f>SUM(#REF!)</f>
        <v>#REF!</v>
      </c>
      <c r="P8" s="12" t="e">
        <f>SUM(#REF!)</f>
        <v>#REF!</v>
      </c>
      <c r="Q8" s="12" t="e">
        <f>SUM(#REF!)</f>
        <v>#REF!</v>
      </c>
      <c r="R8" s="12" t="e">
        <f>SUM(#REF!)</f>
        <v>#REF!</v>
      </c>
      <c r="S8" s="12" t="e">
        <f>SUM(#REF!)</f>
        <v>#REF!</v>
      </c>
      <c r="T8" s="12" t="e">
        <f>SUM(#REF!)</f>
        <v>#REF!</v>
      </c>
      <c r="U8" s="12" t="e">
        <f>SUM(#REF!)</f>
        <v>#REF!</v>
      </c>
      <c r="V8" s="12" t="e">
        <f>SUM(#REF!)</f>
        <v>#REF!</v>
      </c>
      <c r="W8" s="12" t="e">
        <f>SUM(#REF!)</f>
        <v>#REF!</v>
      </c>
      <c r="X8" s="12" t="e">
        <f>SUM(#REF!)</f>
        <v>#REF!</v>
      </c>
      <c r="Y8" s="12" t="e">
        <f>SUM(#REF!)</f>
        <v>#REF!</v>
      </c>
      <c r="Z8" s="12" t="e">
        <f>SUM(#REF!)</f>
        <v>#REF!</v>
      </c>
      <c r="AA8" s="12" t="e">
        <f>SUM(#REF!)</f>
        <v>#REF!</v>
      </c>
      <c r="AB8" s="12" t="e">
        <f>SUM(#REF!)</f>
        <v>#REF!</v>
      </c>
      <c r="AC8" s="12" t="e">
        <f>SUM(#REF!)</f>
        <v>#REF!</v>
      </c>
      <c r="AD8" s="12" t="e">
        <f>SUM(#REF!)</f>
        <v>#REF!</v>
      </c>
      <c r="AE8" s="12" t="e">
        <f>SUM(#REF!)</f>
        <v>#REF!</v>
      </c>
      <c r="AF8" s="12" t="e">
        <f>SUM(#REF!)</f>
        <v>#REF!</v>
      </c>
      <c r="AG8" s="12" t="e">
        <f>SUM(#REF!)</f>
        <v>#REF!</v>
      </c>
      <c r="AH8" s="12" t="e">
        <f>SUM(#REF!)</f>
        <v>#REF!</v>
      </c>
      <c r="AI8" s="12" t="e">
        <f>SUM(#REF!)</f>
        <v>#REF!</v>
      </c>
      <c r="AJ8" s="12" t="e">
        <f>SUM(#REF!)</f>
        <v>#REF!</v>
      </c>
      <c r="AK8" s="12" t="e">
        <f>SUM(#REF!)</f>
        <v>#REF!</v>
      </c>
      <c r="AL8" s="12" t="e">
        <f>SUM(#REF!)</f>
        <v>#REF!</v>
      </c>
      <c r="AM8" s="12" t="e">
        <f>SUM(#REF!)</f>
        <v>#REF!</v>
      </c>
      <c r="AN8" s="12" t="e">
        <f>SUM(#REF!)</f>
        <v>#REF!</v>
      </c>
      <c r="AO8" s="12" t="e">
        <f>SUM(#REF!)</f>
        <v>#REF!</v>
      </c>
      <c r="AP8" s="12" t="e">
        <f>SUM(#REF!)</f>
        <v>#REF!</v>
      </c>
      <c r="AQ8" s="12" t="e">
        <f>SUM(#REF!)</f>
        <v>#REF!</v>
      </c>
      <c r="AR8" s="12" t="e">
        <f>SUM(#REF!)</f>
        <v>#REF!</v>
      </c>
      <c r="AS8" s="12" t="e">
        <f>SUM(#REF!)</f>
        <v>#REF!</v>
      </c>
      <c r="AT8" s="12" t="e">
        <f>SUM(#REF!)</f>
        <v>#REF!</v>
      </c>
      <c r="AU8" s="12" t="e">
        <f>SUM(#REF!)</f>
        <v>#REF!</v>
      </c>
      <c r="AV8" s="12" t="e">
        <f>SUM(#REF!)</f>
        <v>#REF!</v>
      </c>
      <c r="AW8" s="12" t="e">
        <f>SUM(#REF!)</f>
        <v>#REF!</v>
      </c>
      <c r="AX8" s="12" t="e">
        <f>SUM(#REF!)</f>
        <v>#REF!</v>
      </c>
      <c r="AY8" s="12" t="e">
        <f>SUM(#REF!)</f>
        <v>#REF!</v>
      </c>
      <c r="AZ8" s="12" t="e">
        <f>SUM(#REF!)</f>
        <v>#REF!</v>
      </c>
      <c r="BA8" s="12" t="e">
        <f>SUM(#REF!)</f>
        <v>#REF!</v>
      </c>
      <c r="BB8" s="12" t="e">
        <f>SUM(#REF!)</f>
        <v>#REF!</v>
      </c>
      <c r="BC8" s="12" t="e">
        <f>SUM(#REF!)</f>
        <v>#REF!</v>
      </c>
      <c r="BD8" s="12" t="e">
        <f>SUM(#REF!)</f>
        <v>#REF!</v>
      </c>
      <c r="BE8" s="12" t="e">
        <f>SUM(#REF!)</f>
        <v>#REF!</v>
      </c>
      <c r="BF8" s="12" t="e">
        <f>SUM(#REF!)</f>
        <v>#REF!</v>
      </c>
      <c r="BG8" s="12" t="e">
        <f>SUM(#REF!)</f>
        <v>#REF!</v>
      </c>
      <c r="BH8" s="12" t="e">
        <f>SUM(#REF!)</f>
        <v>#REF!</v>
      </c>
      <c r="BI8" s="12" t="e">
        <f>SUM(#REF!)</f>
        <v>#REF!</v>
      </c>
      <c r="BJ8" s="12" t="e">
        <f>SUM(#REF!)</f>
        <v>#REF!</v>
      </c>
      <c r="BK8" s="12" t="e">
        <f>SUM(#REF!)</f>
        <v>#REF!</v>
      </c>
    </row>
    <row r="9" spans="1:70" ht="25.5" customHeight="1" x14ac:dyDescent="0.2">
      <c r="A9" s="24" t="e">
        <f>'BACK SUMMARY'!A9</f>
        <v>#REF!</v>
      </c>
      <c r="B9" s="31" t="e">
        <f>'BACK SUMMARY'!B9</f>
        <v>#REF!</v>
      </c>
      <c r="C9" s="19" t="e">
        <f>'BACK SUMMARY'!C9</f>
        <v>#REF!</v>
      </c>
      <c r="D9" s="12" t="e">
        <f>SUM(#REF!)</f>
        <v>#REF!</v>
      </c>
      <c r="E9" s="12" t="e">
        <f>SUM(#REF!)</f>
        <v>#REF!</v>
      </c>
      <c r="F9" s="12" t="e">
        <f>SUM(#REF!)</f>
        <v>#REF!</v>
      </c>
      <c r="G9" s="12" t="e">
        <f>SUM(#REF!)</f>
        <v>#REF!</v>
      </c>
      <c r="H9" s="12" t="e">
        <f>SUM(#REF!)</f>
        <v>#REF!</v>
      </c>
      <c r="I9" s="12" t="e">
        <f>SUM(#REF!)</f>
        <v>#REF!</v>
      </c>
      <c r="J9" s="12" t="e">
        <f>SUM(#REF!)</f>
        <v>#REF!</v>
      </c>
      <c r="K9" s="12" t="e">
        <f>SUM(#REF!)</f>
        <v>#REF!</v>
      </c>
      <c r="L9" s="12" t="e">
        <f>SUM(#REF!)</f>
        <v>#REF!</v>
      </c>
      <c r="M9" s="12" t="e">
        <f>SUM(#REF!)</f>
        <v>#REF!</v>
      </c>
      <c r="N9" s="12" t="e">
        <f>SUM(#REF!)</f>
        <v>#REF!</v>
      </c>
      <c r="O9" s="12" t="e">
        <f>SUM(#REF!)</f>
        <v>#REF!</v>
      </c>
      <c r="P9" s="12" t="e">
        <f>SUM(#REF!)</f>
        <v>#REF!</v>
      </c>
      <c r="Q9" s="12" t="e">
        <f>SUM(#REF!)</f>
        <v>#REF!</v>
      </c>
      <c r="R9" s="12" t="e">
        <f>SUM(#REF!)</f>
        <v>#REF!</v>
      </c>
      <c r="S9" s="12" t="e">
        <f>SUM(#REF!)</f>
        <v>#REF!</v>
      </c>
      <c r="T9" s="12" t="e">
        <f>SUM(#REF!)</f>
        <v>#REF!</v>
      </c>
      <c r="U9" s="12" t="e">
        <f>SUM(#REF!)</f>
        <v>#REF!</v>
      </c>
      <c r="V9" s="12" t="e">
        <f>SUM(#REF!)</f>
        <v>#REF!</v>
      </c>
      <c r="W9" s="12" t="e">
        <f>SUM(#REF!)</f>
        <v>#REF!</v>
      </c>
      <c r="X9" s="12" t="e">
        <f>SUM(#REF!)</f>
        <v>#REF!</v>
      </c>
      <c r="Y9" s="12" t="e">
        <f>SUM(#REF!)</f>
        <v>#REF!</v>
      </c>
      <c r="Z9" s="12" t="e">
        <f>SUM(#REF!)</f>
        <v>#REF!</v>
      </c>
      <c r="AA9" s="12" t="e">
        <f>SUM(#REF!)</f>
        <v>#REF!</v>
      </c>
      <c r="AB9" s="12" t="e">
        <f>SUM(#REF!)</f>
        <v>#REF!</v>
      </c>
      <c r="AC9" s="12" t="e">
        <f>SUM(#REF!)</f>
        <v>#REF!</v>
      </c>
      <c r="AD9" s="12" t="e">
        <f>SUM(#REF!)</f>
        <v>#REF!</v>
      </c>
      <c r="AE9" s="12" t="e">
        <f>SUM(#REF!)</f>
        <v>#REF!</v>
      </c>
      <c r="AF9" s="12" t="e">
        <f>SUM(#REF!)</f>
        <v>#REF!</v>
      </c>
      <c r="AG9" s="12" t="e">
        <f>SUM(#REF!)</f>
        <v>#REF!</v>
      </c>
      <c r="AH9" s="12" t="e">
        <f>SUM(#REF!)</f>
        <v>#REF!</v>
      </c>
      <c r="AI9" s="12" t="e">
        <f>SUM(#REF!)</f>
        <v>#REF!</v>
      </c>
      <c r="AJ9" s="12" t="e">
        <f>SUM(#REF!)</f>
        <v>#REF!</v>
      </c>
      <c r="AK9" s="12" t="e">
        <f>SUM(#REF!)</f>
        <v>#REF!</v>
      </c>
      <c r="AL9" s="12" t="e">
        <f>SUM(#REF!)</f>
        <v>#REF!</v>
      </c>
      <c r="AM9" s="12" t="e">
        <f>SUM(#REF!)</f>
        <v>#REF!</v>
      </c>
      <c r="AN9" s="12" t="e">
        <f>SUM(#REF!)</f>
        <v>#REF!</v>
      </c>
      <c r="AO9" s="12" t="e">
        <f>SUM(#REF!)</f>
        <v>#REF!</v>
      </c>
      <c r="AP9" s="12" t="e">
        <f>SUM(#REF!)</f>
        <v>#REF!</v>
      </c>
      <c r="AQ9" s="12" t="e">
        <f>SUM(#REF!)</f>
        <v>#REF!</v>
      </c>
      <c r="AR9" s="12" t="e">
        <f>SUM(#REF!)</f>
        <v>#REF!</v>
      </c>
      <c r="AS9" s="12" t="e">
        <f>SUM(#REF!)</f>
        <v>#REF!</v>
      </c>
      <c r="AT9" s="12" t="e">
        <f>SUM(#REF!)</f>
        <v>#REF!</v>
      </c>
      <c r="AU9" s="12" t="e">
        <f>SUM(#REF!)</f>
        <v>#REF!</v>
      </c>
      <c r="AV9" s="12" t="e">
        <f>SUM(#REF!)</f>
        <v>#REF!</v>
      </c>
      <c r="AW9" s="12" t="e">
        <f>SUM(#REF!)</f>
        <v>#REF!</v>
      </c>
      <c r="AX9" s="12" t="e">
        <f>SUM(#REF!)</f>
        <v>#REF!</v>
      </c>
      <c r="AY9" s="12" t="e">
        <f>SUM(#REF!)</f>
        <v>#REF!</v>
      </c>
      <c r="AZ9" s="12" t="e">
        <f>SUM(#REF!)</f>
        <v>#REF!</v>
      </c>
      <c r="BA9" s="12" t="e">
        <f>SUM(#REF!)</f>
        <v>#REF!</v>
      </c>
      <c r="BB9" s="12" t="e">
        <f>SUM(#REF!)</f>
        <v>#REF!</v>
      </c>
      <c r="BC9" s="12" t="e">
        <f>SUM(#REF!)</f>
        <v>#REF!</v>
      </c>
      <c r="BD9" s="12" t="e">
        <f>SUM(#REF!)</f>
        <v>#REF!</v>
      </c>
      <c r="BE9" s="12" t="e">
        <f>SUM(#REF!)</f>
        <v>#REF!</v>
      </c>
      <c r="BF9" s="12" t="e">
        <f>SUM(#REF!)</f>
        <v>#REF!</v>
      </c>
      <c r="BG9" s="12" t="e">
        <f>SUM(#REF!)</f>
        <v>#REF!</v>
      </c>
      <c r="BH9" s="12" t="e">
        <f>SUM(#REF!)</f>
        <v>#REF!</v>
      </c>
      <c r="BI9" s="12" t="e">
        <f>SUM(#REF!)</f>
        <v>#REF!</v>
      </c>
      <c r="BJ9" s="12" t="e">
        <f>SUM(#REF!)</f>
        <v>#REF!</v>
      </c>
      <c r="BK9" s="12" t="e">
        <f>SUM(#REF!)</f>
        <v>#REF!</v>
      </c>
    </row>
    <row r="10" spans="1:70" ht="25.5" customHeight="1" x14ac:dyDescent="0.2">
      <c r="A10" s="24" t="e">
        <f>'BACK SUMMARY'!A10</f>
        <v>#REF!</v>
      </c>
      <c r="B10" s="31" t="e">
        <f>'BACK SUMMARY'!B10</f>
        <v>#REF!</v>
      </c>
      <c r="C10" s="19" t="e">
        <f>'BACK SUMMARY'!C10</f>
        <v>#REF!</v>
      </c>
      <c r="D10" s="12" t="e">
        <f>SUM(#REF!)</f>
        <v>#REF!</v>
      </c>
      <c r="E10" s="12" t="e">
        <f>SUM(#REF!)</f>
        <v>#REF!</v>
      </c>
      <c r="F10" s="12" t="e">
        <f>SUM(#REF!)</f>
        <v>#REF!</v>
      </c>
      <c r="G10" s="12" t="e">
        <f>SUM(#REF!)</f>
        <v>#REF!</v>
      </c>
      <c r="H10" s="12" t="e">
        <f>SUM(#REF!)</f>
        <v>#REF!</v>
      </c>
      <c r="I10" s="12" t="e">
        <f>SUM(#REF!)</f>
        <v>#REF!</v>
      </c>
      <c r="J10" s="12" t="e">
        <f>SUM(#REF!)</f>
        <v>#REF!</v>
      </c>
      <c r="K10" s="12" t="e">
        <f>SUM(#REF!)</f>
        <v>#REF!</v>
      </c>
      <c r="L10" s="12" t="e">
        <f>SUM(#REF!)</f>
        <v>#REF!</v>
      </c>
      <c r="M10" s="12" t="e">
        <f>SUM(#REF!)</f>
        <v>#REF!</v>
      </c>
      <c r="N10" s="12" t="e">
        <f>SUM(#REF!)</f>
        <v>#REF!</v>
      </c>
      <c r="O10" s="12" t="e">
        <f>SUM(#REF!)</f>
        <v>#REF!</v>
      </c>
      <c r="P10" s="12" t="e">
        <f>SUM(#REF!)</f>
        <v>#REF!</v>
      </c>
      <c r="Q10" s="12" t="e">
        <f>SUM(#REF!)</f>
        <v>#REF!</v>
      </c>
      <c r="R10" s="12" t="e">
        <f>SUM(#REF!)</f>
        <v>#REF!</v>
      </c>
      <c r="S10" s="12" t="e">
        <f>SUM(#REF!)</f>
        <v>#REF!</v>
      </c>
      <c r="T10" s="12" t="e">
        <f>SUM(#REF!)</f>
        <v>#REF!</v>
      </c>
      <c r="U10" s="12" t="e">
        <f>SUM(#REF!)</f>
        <v>#REF!</v>
      </c>
      <c r="V10" s="12" t="e">
        <f>SUM(#REF!)</f>
        <v>#REF!</v>
      </c>
      <c r="W10" s="12" t="e">
        <f>SUM(#REF!)</f>
        <v>#REF!</v>
      </c>
      <c r="X10" s="12" t="e">
        <f>SUM(#REF!)</f>
        <v>#REF!</v>
      </c>
      <c r="Y10" s="12" t="e">
        <f>SUM(#REF!)</f>
        <v>#REF!</v>
      </c>
      <c r="Z10" s="12" t="e">
        <f>SUM(#REF!)</f>
        <v>#REF!</v>
      </c>
      <c r="AA10" s="12" t="e">
        <f>SUM(#REF!)</f>
        <v>#REF!</v>
      </c>
      <c r="AB10" s="12" t="e">
        <f>SUM(#REF!)</f>
        <v>#REF!</v>
      </c>
      <c r="AC10" s="12" t="e">
        <f>SUM(#REF!)</f>
        <v>#REF!</v>
      </c>
      <c r="AD10" s="12" t="e">
        <f>SUM(#REF!)</f>
        <v>#REF!</v>
      </c>
      <c r="AE10" s="12" t="e">
        <f>SUM(#REF!)</f>
        <v>#REF!</v>
      </c>
      <c r="AF10" s="12" t="e">
        <f>SUM(#REF!)</f>
        <v>#REF!</v>
      </c>
      <c r="AG10" s="12" t="e">
        <f>SUM(#REF!)</f>
        <v>#REF!</v>
      </c>
      <c r="AH10" s="12" t="e">
        <f>SUM(#REF!)</f>
        <v>#REF!</v>
      </c>
      <c r="AI10" s="12" t="e">
        <f>SUM(#REF!)</f>
        <v>#REF!</v>
      </c>
      <c r="AJ10" s="12" t="e">
        <f>SUM(#REF!)</f>
        <v>#REF!</v>
      </c>
      <c r="AK10" s="12" t="e">
        <f>SUM(#REF!)</f>
        <v>#REF!</v>
      </c>
      <c r="AL10" s="12" t="e">
        <f>SUM(#REF!)</f>
        <v>#REF!</v>
      </c>
      <c r="AM10" s="12" t="e">
        <f>SUM(#REF!)</f>
        <v>#REF!</v>
      </c>
      <c r="AN10" s="12" t="e">
        <f>SUM(#REF!)</f>
        <v>#REF!</v>
      </c>
      <c r="AO10" s="12" t="e">
        <f>SUM(#REF!)</f>
        <v>#REF!</v>
      </c>
      <c r="AP10" s="12" t="e">
        <f>SUM(#REF!)</f>
        <v>#REF!</v>
      </c>
      <c r="AQ10" s="12" t="e">
        <f>SUM(#REF!)</f>
        <v>#REF!</v>
      </c>
      <c r="AR10" s="12" t="e">
        <f>SUM(#REF!)</f>
        <v>#REF!</v>
      </c>
      <c r="AS10" s="12" t="e">
        <f>SUM(#REF!)</f>
        <v>#REF!</v>
      </c>
      <c r="AT10" s="12" t="e">
        <f>SUM(#REF!)</f>
        <v>#REF!</v>
      </c>
      <c r="AU10" s="12" t="e">
        <f>SUM(#REF!)</f>
        <v>#REF!</v>
      </c>
      <c r="AV10" s="12" t="e">
        <f>SUM(#REF!)</f>
        <v>#REF!</v>
      </c>
      <c r="AW10" s="12" t="e">
        <f>SUM(#REF!)</f>
        <v>#REF!</v>
      </c>
      <c r="AX10" s="12" t="e">
        <f>SUM(#REF!)</f>
        <v>#REF!</v>
      </c>
      <c r="AY10" s="12" t="e">
        <f>SUM(#REF!)</f>
        <v>#REF!</v>
      </c>
      <c r="AZ10" s="12" t="e">
        <f>SUM(#REF!)</f>
        <v>#REF!</v>
      </c>
      <c r="BA10" s="12" t="e">
        <f>SUM(#REF!)</f>
        <v>#REF!</v>
      </c>
      <c r="BB10" s="12" t="e">
        <f>SUM(#REF!)</f>
        <v>#REF!</v>
      </c>
      <c r="BC10" s="12" t="e">
        <f>SUM(#REF!)</f>
        <v>#REF!</v>
      </c>
      <c r="BD10" s="12" t="e">
        <f>SUM(#REF!)</f>
        <v>#REF!</v>
      </c>
      <c r="BE10" s="12" t="e">
        <f>SUM(#REF!)</f>
        <v>#REF!</v>
      </c>
      <c r="BF10" s="12" t="e">
        <f>SUM(#REF!)</f>
        <v>#REF!</v>
      </c>
      <c r="BG10" s="12" t="e">
        <f>SUM(#REF!)</f>
        <v>#REF!</v>
      </c>
      <c r="BH10" s="12" t="e">
        <f>SUM(#REF!)</f>
        <v>#REF!</v>
      </c>
      <c r="BI10" s="12" t="e">
        <f>SUM(#REF!)</f>
        <v>#REF!</v>
      </c>
      <c r="BJ10" s="12" t="e">
        <f>SUM(#REF!)</f>
        <v>#REF!</v>
      </c>
      <c r="BK10" s="12" t="e">
        <f>SUM(#REF!)</f>
        <v>#REF!</v>
      </c>
    </row>
    <row r="11" spans="1:70" ht="25.5" customHeight="1" x14ac:dyDescent="0.2">
      <c r="A11" s="24" t="e">
        <f>'BACK SUMMARY'!A11</f>
        <v>#REF!</v>
      </c>
      <c r="B11" s="31" t="e">
        <f>'BACK SUMMARY'!B11</f>
        <v>#REF!</v>
      </c>
      <c r="C11" s="19" t="e">
        <f>'BACK SUMMARY'!C11</f>
        <v>#REF!</v>
      </c>
      <c r="D11" s="12" t="e">
        <f>SUM(#REF!)</f>
        <v>#REF!</v>
      </c>
      <c r="E11" s="12" t="e">
        <f>SUM(#REF!)</f>
        <v>#REF!</v>
      </c>
      <c r="F11" s="12" t="e">
        <f>SUM(#REF!)</f>
        <v>#REF!</v>
      </c>
      <c r="G11" s="12" t="e">
        <f>SUM(#REF!)</f>
        <v>#REF!</v>
      </c>
      <c r="H11" s="12" t="e">
        <f>SUM(#REF!)</f>
        <v>#REF!</v>
      </c>
      <c r="I11" s="12" t="e">
        <f>SUM(#REF!)</f>
        <v>#REF!</v>
      </c>
      <c r="J11" s="12" t="e">
        <f>SUM(#REF!)</f>
        <v>#REF!</v>
      </c>
      <c r="K11" s="12" t="e">
        <f>SUM(#REF!)</f>
        <v>#REF!</v>
      </c>
      <c r="L11" s="12" t="e">
        <f>SUM(#REF!)</f>
        <v>#REF!</v>
      </c>
      <c r="M11" s="12" t="e">
        <f>SUM(#REF!)</f>
        <v>#REF!</v>
      </c>
      <c r="N11" s="12" t="e">
        <f>SUM(#REF!)</f>
        <v>#REF!</v>
      </c>
      <c r="O11" s="12" t="e">
        <f>SUM(#REF!)</f>
        <v>#REF!</v>
      </c>
      <c r="P11" s="12" t="e">
        <f>SUM(#REF!)</f>
        <v>#REF!</v>
      </c>
      <c r="Q11" s="12" t="e">
        <f>SUM(#REF!)</f>
        <v>#REF!</v>
      </c>
      <c r="R11" s="12" t="e">
        <f>SUM(#REF!)</f>
        <v>#REF!</v>
      </c>
      <c r="S11" s="12" t="e">
        <f>SUM(#REF!)</f>
        <v>#REF!</v>
      </c>
      <c r="T11" s="12" t="e">
        <f>SUM(#REF!)</f>
        <v>#REF!</v>
      </c>
      <c r="U11" s="12" t="e">
        <f>SUM(#REF!)</f>
        <v>#REF!</v>
      </c>
      <c r="V11" s="12" t="e">
        <f>SUM(#REF!)</f>
        <v>#REF!</v>
      </c>
      <c r="W11" s="12" t="e">
        <f>SUM(#REF!)</f>
        <v>#REF!</v>
      </c>
      <c r="X11" s="12" t="e">
        <f>SUM(#REF!)</f>
        <v>#REF!</v>
      </c>
      <c r="Y11" s="12" t="e">
        <f>SUM(#REF!)</f>
        <v>#REF!</v>
      </c>
      <c r="Z11" s="12" t="e">
        <f>SUM(#REF!)</f>
        <v>#REF!</v>
      </c>
      <c r="AA11" s="12" t="e">
        <f>SUM(#REF!)</f>
        <v>#REF!</v>
      </c>
      <c r="AB11" s="12" t="e">
        <f>SUM(#REF!)</f>
        <v>#REF!</v>
      </c>
      <c r="AC11" s="12" t="e">
        <f>SUM(#REF!)</f>
        <v>#REF!</v>
      </c>
      <c r="AD11" s="12" t="e">
        <f>SUM(#REF!)</f>
        <v>#REF!</v>
      </c>
      <c r="AE11" s="12" t="e">
        <f>SUM(#REF!)</f>
        <v>#REF!</v>
      </c>
      <c r="AF11" s="12" t="e">
        <f>SUM(#REF!)</f>
        <v>#REF!</v>
      </c>
      <c r="AG11" s="12" t="e">
        <f>SUM(#REF!)</f>
        <v>#REF!</v>
      </c>
      <c r="AH11" s="12" t="e">
        <f>SUM(#REF!)</f>
        <v>#REF!</v>
      </c>
      <c r="AI11" s="12" t="e">
        <f>SUM(#REF!)</f>
        <v>#REF!</v>
      </c>
      <c r="AJ11" s="12" t="e">
        <f>SUM(#REF!)</f>
        <v>#REF!</v>
      </c>
      <c r="AK11" s="12" t="e">
        <f>SUM(#REF!)</f>
        <v>#REF!</v>
      </c>
      <c r="AL11" s="12" t="e">
        <f>SUM(#REF!)</f>
        <v>#REF!</v>
      </c>
      <c r="AM11" s="12" t="e">
        <f>SUM(#REF!)</f>
        <v>#REF!</v>
      </c>
      <c r="AN11" s="12" t="e">
        <f>SUM(#REF!)</f>
        <v>#REF!</v>
      </c>
      <c r="AO11" s="12" t="e">
        <f>SUM(#REF!)</f>
        <v>#REF!</v>
      </c>
      <c r="AP11" s="12" t="e">
        <f>SUM(#REF!)</f>
        <v>#REF!</v>
      </c>
      <c r="AQ11" s="12" t="e">
        <f>SUM(#REF!)</f>
        <v>#REF!</v>
      </c>
      <c r="AR11" s="12" t="e">
        <f>SUM(#REF!)</f>
        <v>#REF!</v>
      </c>
      <c r="AS11" s="12" t="e">
        <f>SUM(#REF!)</f>
        <v>#REF!</v>
      </c>
      <c r="AT11" s="12" t="e">
        <f>SUM(#REF!)</f>
        <v>#REF!</v>
      </c>
      <c r="AU11" s="12" t="e">
        <f>SUM(#REF!)</f>
        <v>#REF!</v>
      </c>
      <c r="AV11" s="12" t="e">
        <f>SUM(#REF!)</f>
        <v>#REF!</v>
      </c>
      <c r="AW11" s="12" t="e">
        <f>SUM(#REF!)</f>
        <v>#REF!</v>
      </c>
      <c r="AX11" s="12" t="e">
        <f>SUM(#REF!)</f>
        <v>#REF!</v>
      </c>
      <c r="AY11" s="12" t="e">
        <f>SUM(#REF!)</f>
        <v>#REF!</v>
      </c>
      <c r="AZ11" s="12" t="e">
        <f>SUM(#REF!)</f>
        <v>#REF!</v>
      </c>
      <c r="BA11" s="12" t="e">
        <f>SUM(#REF!)</f>
        <v>#REF!</v>
      </c>
      <c r="BB11" s="12" t="e">
        <f>SUM(#REF!)</f>
        <v>#REF!</v>
      </c>
      <c r="BC11" s="12" t="e">
        <f>SUM(#REF!)</f>
        <v>#REF!</v>
      </c>
      <c r="BD11" s="12" t="e">
        <f>SUM(#REF!)</f>
        <v>#REF!</v>
      </c>
      <c r="BE11" s="12" t="e">
        <f>SUM(#REF!)</f>
        <v>#REF!</v>
      </c>
      <c r="BF11" s="12" t="e">
        <f>SUM(#REF!)</f>
        <v>#REF!</v>
      </c>
      <c r="BG11" s="12" t="e">
        <f>SUM(#REF!)</f>
        <v>#REF!</v>
      </c>
      <c r="BH11" s="12" t="e">
        <f>SUM(#REF!)</f>
        <v>#REF!</v>
      </c>
      <c r="BI11" s="12" t="e">
        <f>SUM(#REF!)</f>
        <v>#REF!</v>
      </c>
      <c r="BJ11" s="12" t="e">
        <f>SUM(#REF!)</f>
        <v>#REF!</v>
      </c>
      <c r="BK11" s="12" t="e">
        <f>SUM(#REF!)</f>
        <v>#REF!</v>
      </c>
    </row>
    <row r="12" spans="1:70" ht="25.5" customHeight="1" x14ac:dyDescent="0.2">
      <c r="A12" s="24" t="e">
        <f>'BACK SUMMARY'!A12</f>
        <v>#REF!</v>
      </c>
      <c r="B12" s="31" t="e">
        <f>'BACK SUMMARY'!B12</f>
        <v>#REF!</v>
      </c>
      <c r="C12" s="19" t="e">
        <f>'BACK SUMMARY'!C12</f>
        <v>#REF!</v>
      </c>
      <c r="D12" s="12" t="e">
        <f>SUM(#REF!)</f>
        <v>#REF!</v>
      </c>
      <c r="E12" s="12" t="e">
        <f>SUM(#REF!)</f>
        <v>#REF!</v>
      </c>
      <c r="F12" s="12" t="e">
        <f>SUM(#REF!)</f>
        <v>#REF!</v>
      </c>
      <c r="G12" s="12" t="e">
        <f>SUM(#REF!)</f>
        <v>#REF!</v>
      </c>
      <c r="H12" s="12" t="e">
        <f>SUM(#REF!)</f>
        <v>#REF!</v>
      </c>
      <c r="I12" s="12" t="e">
        <f>SUM(#REF!)</f>
        <v>#REF!</v>
      </c>
      <c r="J12" s="12" t="e">
        <f>SUM(#REF!)</f>
        <v>#REF!</v>
      </c>
      <c r="K12" s="12" t="e">
        <f>SUM(#REF!)</f>
        <v>#REF!</v>
      </c>
      <c r="L12" s="12" t="e">
        <f>SUM(#REF!)</f>
        <v>#REF!</v>
      </c>
      <c r="M12" s="12" t="e">
        <f>SUM(#REF!)</f>
        <v>#REF!</v>
      </c>
      <c r="N12" s="12" t="e">
        <f>SUM(#REF!)</f>
        <v>#REF!</v>
      </c>
      <c r="O12" s="12" t="e">
        <f>SUM(#REF!)</f>
        <v>#REF!</v>
      </c>
      <c r="P12" s="12" t="e">
        <f>SUM(#REF!)</f>
        <v>#REF!</v>
      </c>
      <c r="Q12" s="12" t="e">
        <f>SUM(#REF!)</f>
        <v>#REF!</v>
      </c>
      <c r="R12" s="12" t="e">
        <f>SUM(#REF!)</f>
        <v>#REF!</v>
      </c>
      <c r="S12" s="12" t="e">
        <f>SUM(#REF!)</f>
        <v>#REF!</v>
      </c>
      <c r="T12" s="12" t="e">
        <f>SUM(#REF!)</f>
        <v>#REF!</v>
      </c>
      <c r="U12" s="12" t="e">
        <f>SUM(#REF!)</f>
        <v>#REF!</v>
      </c>
      <c r="V12" s="12" t="e">
        <f>SUM(#REF!)</f>
        <v>#REF!</v>
      </c>
      <c r="W12" s="12" t="e">
        <f>SUM(#REF!)</f>
        <v>#REF!</v>
      </c>
      <c r="X12" s="12" t="e">
        <f>SUM(#REF!)</f>
        <v>#REF!</v>
      </c>
      <c r="Y12" s="12" t="e">
        <f>SUM(#REF!)</f>
        <v>#REF!</v>
      </c>
      <c r="Z12" s="12" t="e">
        <f>SUM(#REF!)</f>
        <v>#REF!</v>
      </c>
      <c r="AA12" s="12" t="e">
        <f>SUM(#REF!)</f>
        <v>#REF!</v>
      </c>
      <c r="AB12" s="12" t="e">
        <f>SUM(#REF!)</f>
        <v>#REF!</v>
      </c>
      <c r="AC12" s="12" t="e">
        <f>SUM(#REF!)</f>
        <v>#REF!</v>
      </c>
      <c r="AD12" s="12" t="e">
        <f>SUM(#REF!)</f>
        <v>#REF!</v>
      </c>
      <c r="AE12" s="12" t="e">
        <f>SUM(#REF!)</f>
        <v>#REF!</v>
      </c>
      <c r="AF12" s="12" t="e">
        <f>SUM(#REF!)</f>
        <v>#REF!</v>
      </c>
      <c r="AG12" s="12" t="e">
        <f>SUM(#REF!)</f>
        <v>#REF!</v>
      </c>
      <c r="AH12" s="12" t="e">
        <f>SUM(#REF!)</f>
        <v>#REF!</v>
      </c>
      <c r="AI12" s="12" t="e">
        <f>SUM(#REF!)</f>
        <v>#REF!</v>
      </c>
      <c r="AJ12" s="12" t="e">
        <f>SUM(#REF!)</f>
        <v>#REF!</v>
      </c>
      <c r="AK12" s="12" t="e">
        <f>SUM(#REF!)</f>
        <v>#REF!</v>
      </c>
      <c r="AL12" s="12" t="e">
        <f>SUM(#REF!)</f>
        <v>#REF!</v>
      </c>
      <c r="AM12" s="12" t="e">
        <f>SUM(#REF!)</f>
        <v>#REF!</v>
      </c>
      <c r="AN12" s="12" t="e">
        <f>SUM(#REF!)</f>
        <v>#REF!</v>
      </c>
      <c r="AO12" s="12" t="e">
        <f>SUM(#REF!)</f>
        <v>#REF!</v>
      </c>
      <c r="AP12" s="12" t="e">
        <f>SUM(#REF!)</f>
        <v>#REF!</v>
      </c>
      <c r="AQ12" s="12" t="e">
        <f>SUM(#REF!)</f>
        <v>#REF!</v>
      </c>
      <c r="AR12" s="12" t="e">
        <f>SUM(#REF!)</f>
        <v>#REF!</v>
      </c>
      <c r="AS12" s="12" t="e">
        <f>SUM(#REF!)</f>
        <v>#REF!</v>
      </c>
      <c r="AT12" s="12" t="e">
        <f>SUM(#REF!)</f>
        <v>#REF!</v>
      </c>
      <c r="AU12" s="12" t="e">
        <f>SUM(#REF!)</f>
        <v>#REF!</v>
      </c>
      <c r="AV12" s="12" t="e">
        <f>SUM(#REF!)</f>
        <v>#REF!</v>
      </c>
      <c r="AW12" s="12" t="e">
        <f>SUM(#REF!)</f>
        <v>#REF!</v>
      </c>
      <c r="AX12" s="12" t="e">
        <f>SUM(#REF!)</f>
        <v>#REF!</v>
      </c>
      <c r="AY12" s="12" t="e">
        <f>SUM(#REF!)</f>
        <v>#REF!</v>
      </c>
      <c r="AZ12" s="12" t="e">
        <f>SUM(#REF!)</f>
        <v>#REF!</v>
      </c>
      <c r="BA12" s="12" t="e">
        <f>SUM(#REF!)</f>
        <v>#REF!</v>
      </c>
      <c r="BB12" s="12" t="e">
        <f>SUM(#REF!)</f>
        <v>#REF!</v>
      </c>
      <c r="BC12" s="12" t="e">
        <f>SUM(#REF!)</f>
        <v>#REF!</v>
      </c>
      <c r="BD12" s="12" t="e">
        <f>SUM(#REF!)</f>
        <v>#REF!</v>
      </c>
      <c r="BE12" s="12" t="e">
        <f>SUM(#REF!)</f>
        <v>#REF!</v>
      </c>
      <c r="BF12" s="12" t="e">
        <f>SUM(#REF!)</f>
        <v>#REF!</v>
      </c>
      <c r="BG12" s="12" t="e">
        <f>SUM(#REF!)</f>
        <v>#REF!</v>
      </c>
      <c r="BH12" s="12" t="e">
        <f>SUM(#REF!)</f>
        <v>#REF!</v>
      </c>
      <c r="BI12" s="12" t="e">
        <f>SUM(#REF!)</f>
        <v>#REF!</v>
      </c>
      <c r="BJ12" s="12" t="e">
        <f>SUM(#REF!)</f>
        <v>#REF!</v>
      </c>
      <c r="BK12" s="12" t="e">
        <f>SUM(#REF!)</f>
        <v>#REF!</v>
      </c>
    </row>
    <row r="13" spans="1:70" ht="15" x14ac:dyDescent="0.2">
      <c r="B13" s="33" t="e">
        <f t="shared" ref="B13:AG13" si="2">SUM(B5:B12)</f>
        <v>#REF!</v>
      </c>
      <c r="C13" s="18" t="e">
        <f t="shared" si="2"/>
        <v>#REF!</v>
      </c>
      <c r="D13" s="26" t="e">
        <f t="shared" si="2"/>
        <v>#REF!</v>
      </c>
      <c r="E13" s="26" t="e">
        <f t="shared" si="2"/>
        <v>#REF!</v>
      </c>
      <c r="F13" s="26" t="e">
        <f t="shared" si="2"/>
        <v>#REF!</v>
      </c>
      <c r="G13" s="26" t="e">
        <f t="shared" si="2"/>
        <v>#REF!</v>
      </c>
      <c r="H13" s="26" t="e">
        <f t="shared" si="2"/>
        <v>#REF!</v>
      </c>
      <c r="I13" s="26" t="e">
        <f t="shared" si="2"/>
        <v>#REF!</v>
      </c>
      <c r="J13" s="26" t="e">
        <f t="shared" si="2"/>
        <v>#REF!</v>
      </c>
      <c r="K13" s="26" t="e">
        <f t="shared" si="2"/>
        <v>#REF!</v>
      </c>
      <c r="L13" s="26" t="e">
        <f t="shared" si="2"/>
        <v>#REF!</v>
      </c>
      <c r="M13" s="26" t="e">
        <f t="shared" si="2"/>
        <v>#REF!</v>
      </c>
      <c r="N13" s="26" t="e">
        <f t="shared" si="2"/>
        <v>#REF!</v>
      </c>
      <c r="O13" s="26" t="e">
        <f t="shared" si="2"/>
        <v>#REF!</v>
      </c>
      <c r="P13" s="26" t="e">
        <f t="shared" si="2"/>
        <v>#REF!</v>
      </c>
      <c r="Q13" s="26" t="e">
        <f t="shared" si="2"/>
        <v>#REF!</v>
      </c>
      <c r="R13" s="26" t="e">
        <f t="shared" si="2"/>
        <v>#REF!</v>
      </c>
      <c r="S13" s="26" t="e">
        <f t="shared" si="2"/>
        <v>#REF!</v>
      </c>
      <c r="T13" s="26" t="e">
        <f t="shared" si="2"/>
        <v>#REF!</v>
      </c>
      <c r="U13" s="26" t="e">
        <f t="shared" si="2"/>
        <v>#REF!</v>
      </c>
      <c r="V13" s="26" t="e">
        <f t="shared" si="2"/>
        <v>#REF!</v>
      </c>
      <c r="W13" s="26" t="e">
        <f t="shared" si="2"/>
        <v>#REF!</v>
      </c>
      <c r="X13" s="26" t="e">
        <f t="shared" si="2"/>
        <v>#REF!</v>
      </c>
      <c r="Y13" s="26" t="e">
        <f t="shared" si="2"/>
        <v>#REF!</v>
      </c>
      <c r="Z13" s="26" t="e">
        <f t="shared" si="2"/>
        <v>#REF!</v>
      </c>
      <c r="AA13" s="26" t="e">
        <f t="shared" si="2"/>
        <v>#REF!</v>
      </c>
      <c r="AB13" s="26" t="e">
        <f t="shared" si="2"/>
        <v>#REF!</v>
      </c>
      <c r="AC13" s="26" t="e">
        <f t="shared" si="2"/>
        <v>#REF!</v>
      </c>
      <c r="AD13" s="26" t="e">
        <f t="shared" si="2"/>
        <v>#REF!</v>
      </c>
      <c r="AE13" s="26" t="e">
        <f t="shared" si="2"/>
        <v>#REF!</v>
      </c>
      <c r="AF13" s="26" t="e">
        <f t="shared" si="2"/>
        <v>#REF!</v>
      </c>
      <c r="AG13" s="26" t="e">
        <f t="shared" si="2"/>
        <v>#REF!</v>
      </c>
      <c r="AH13" s="26" t="e">
        <f t="shared" ref="AH13:BK13" si="3">SUM(AH5:AH12)</f>
        <v>#REF!</v>
      </c>
      <c r="AI13" s="26" t="e">
        <f t="shared" si="3"/>
        <v>#REF!</v>
      </c>
      <c r="AJ13" s="26" t="e">
        <f t="shared" si="3"/>
        <v>#REF!</v>
      </c>
      <c r="AK13" s="26" t="e">
        <f t="shared" si="3"/>
        <v>#REF!</v>
      </c>
      <c r="AL13" s="26" t="e">
        <f t="shared" si="3"/>
        <v>#REF!</v>
      </c>
      <c r="AM13" s="26" t="e">
        <f t="shared" si="3"/>
        <v>#REF!</v>
      </c>
      <c r="AN13" s="26" t="e">
        <f t="shared" si="3"/>
        <v>#REF!</v>
      </c>
      <c r="AO13" s="26" t="e">
        <f t="shared" si="3"/>
        <v>#REF!</v>
      </c>
      <c r="AP13" s="26" t="e">
        <f t="shared" si="3"/>
        <v>#REF!</v>
      </c>
      <c r="AQ13" s="26" t="e">
        <f t="shared" si="3"/>
        <v>#REF!</v>
      </c>
      <c r="AR13" s="26" t="e">
        <f t="shared" si="3"/>
        <v>#REF!</v>
      </c>
      <c r="AS13" s="26" t="e">
        <f t="shared" si="3"/>
        <v>#REF!</v>
      </c>
      <c r="AT13" s="26" t="e">
        <f t="shared" si="3"/>
        <v>#REF!</v>
      </c>
      <c r="AU13" s="26" t="e">
        <f t="shared" si="3"/>
        <v>#REF!</v>
      </c>
      <c r="AV13" s="26" t="e">
        <f t="shared" si="3"/>
        <v>#REF!</v>
      </c>
      <c r="AW13" s="26" t="e">
        <f t="shared" si="3"/>
        <v>#REF!</v>
      </c>
      <c r="AX13" s="26" t="e">
        <f t="shared" si="3"/>
        <v>#REF!</v>
      </c>
      <c r="AY13" s="26" t="e">
        <f t="shared" si="3"/>
        <v>#REF!</v>
      </c>
      <c r="AZ13" s="26" t="e">
        <f t="shared" si="3"/>
        <v>#REF!</v>
      </c>
      <c r="BA13" s="26" t="e">
        <f t="shared" si="3"/>
        <v>#REF!</v>
      </c>
      <c r="BB13" s="26" t="e">
        <f t="shared" si="3"/>
        <v>#REF!</v>
      </c>
      <c r="BC13" s="26" t="e">
        <f t="shared" si="3"/>
        <v>#REF!</v>
      </c>
      <c r="BD13" s="26" t="e">
        <f t="shared" si="3"/>
        <v>#REF!</v>
      </c>
      <c r="BE13" s="26" t="e">
        <f t="shared" si="3"/>
        <v>#REF!</v>
      </c>
      <c r="BF13" s="26" t="e">
        <f t="shared" si="3"/>
        <v>#REF!</v>
      </c>
      <c r="BG13" s="26" t="e">
        <f t="shared" si="3"/>
        <v>#REF!</v>
      </c>
      <c r="BH13" s="26" t="e">
        <f t="shared" si="3"/>
        <v>#REF!</v>
      </c>
      <c r="BI13" s="26" t="e">
        <f t="shared" si="3"/>
        <v>#REF!</v>
      </c>
      <c r="BJ13" s="26" t="e">
        <f t="shared" si="3"/>
        <v>#REF!</v>
      </c>
      <c r="BK13" s="26" t="e">
        <f t="shared" si="3"/>
        <v>#REF!</v>
      </c>
    </row>
    <row r="15" spans="1:70" x14ac:dyDescent="0.2"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5"/>
      <c r="BM15" s="35"/>
      <c r="BN15" s="35"/>
      <c r="BO15" s="35"/>
      <c r="BP15" s="35"/>
      <c r="BQ15" s="35"/>
      <c r="BR15" s="35"/>
    </row>
    <row r="16" spans="1:70" ht="21" customHeight="1" x14ac:dyDescent="0.2">
      <c r="D16" s="37">
        <v>1</v>
      </c>
      <c r="E16" s="37">
        <v>2</v>
      </c>
      <c r="F16" s="37">
        <v>3</v>
      </c>
      <c r="G16" s="37">
        <v>4</v>
      </c>
      <c r="H16" s="37">
        <v>5</v>
      </c>
      <c r="I16" s="37">
        <v>6</v>
      </c>
      <c r="J16" s="37">
        <v>7</v>
      </c>
      <c r="K16" s="37">
        <v>8</v>
      </c>
      <c r="L16" s="37">
        <v>9</v>
      </c>
      <c r="M16" s="37">
        <v>10</v>
      </c>
      <c r="N16" s="37">
        <v>11</v>
      </c>
      <c r="O16" s="37">
        <v>12</v>
      </c>
      <c r="P16" s="37">
        <v>13</v>
      </c>
      <c r="Q16" s="37">
        <v>14</v>
      </c>
      <c r="R16" s="37">
        <v>15</v>
      </c>
      <c r="S16" s="37">
        <v>16</v>
      </c>
      <c r="T16" s="37">
        <v>17</v>
      </c>
      <c r="U16" s="37">
        <v>18</v>
      </c>
      <c r="V16" s="37">
        <v>19</v>
      </c>
      <c r="W16" s="37">
        <v>20</v>
      </c>
      <c r="X16" s="37">
        <v>21</v>
      </c>
      <c r="Y16" s="37">
        <v>22</v>
      </c>
      <c r="Z16" s="37">
        <v>23</v>
      </c>
      <c r="AA16" s="37">
        <v>24</v>
      </c>
      <c r="AB16" s="37">
        <v>25</v>
      </c>
      <c r="AC16" s="37">
        <v>26</v>
      </c>
      <c r="AD16" s="37">
        <v>27</v>
      </c>
      <c r="AE16" s="37">
        <v>28</v>
      </c>
      <c r="AF16" s="37">
        <v>29</v>
      </c>
      <c r="AG16" s="37">
        <v>30</v>
      </c>
      <c r="AH16" s="37">
        <v>31</v>
      </c>
      <c r="AI16" s="37">
        <v>32</v>
      </c>
      <c r="AJ16" s="37">
        <v>33</v>
      </c>
      <c r="AK16" s="37">
        <v>34</v>
      </c>
      <c r="AL16" s="37">
        <v>35</v>
      </c>
      <c r="AM16" s="37">
        <v>36</v>
      </c>
      <c r="AN16" s="37">
        <v>37</v>
      </c>
      <c r="AO16" s="37">
        <v>38</v>
      </c>
      <c r="AP16" s="37">
        <v>39</v>
      </c>
      <c r="AQ16" s="37">
        <v>40</v>
      </c>
      <c r="AR16" s="37">
        <v>41</v>
      </c>
      <c r="AS16" s="37">
        <v>42</v>
      </c>
      <c r="AT16" s="37">
        <v>43</v>
      </c>
      <c r="AU16" s="37">
        <v>44</v>
      </c>
      <c r="AV16" s="37">
        <v>45</v>
      </c>
      <c r="AW16" s="37">
        <v>46</v>
      </c>
      <c r="AX16" s="37">
        <v>47</v>
      </c>
      <c r="AY16" s="37">
        <v>48</v>
      </c>
      <c r="AZ16" s="37">
        <v>49</v>
      </c>
      <c r="BA16" s="37">
        <v>50</v>
      </c>
      <c r="BB16" s="37">
        <v>51</v>
      </c>
      <c r="BC16" s="37">
        <v>52</v>
      </c>
      <c r="BD16" s="37">
        <v>53</v>
      </c>
      <c r="BE16" s="37">
        <v>54</v>
      </c>
      <c r="BF16" s="37">
        <v>55</v>
      </c>
      <c r="BG16" s="36"/>
      <c r="BH16" s="36"/>
      <c r="BI16" s="36"/>
      <c r="BJ16" s="36"/>
      <c r="BK16" s="36"/>
    </row>
    <row r="17" spans="1:63" ht="13.5" x14ac:dyDescent="0.25">
      <c r="A17" s="8"/>
      <c r="B17" s="8"/>
      <c r="C17" s="9"/>
      <c r="D17" s="10">
        <v>40780</v>
      </c>
      <c r="E17" s="10">
        <f>+D17+7</f>
        <v>40787</v>
      </c>
      <c r="F17" s="10">
        <f>+E17+7</f>
        <v>40794</v>
      </c>
      <c r="G17" s="11">
        <f t="shared" ref="G17:BK17" si="4">+F17+7</f>
        <v>40801</v>
      </c>
      <c r="H17" s="11">
        <f t="shared" si="4"/>
        <v>40808</v>
      </c>
      <c r="I17" s="11">
        <f t="shared" si="4"/>
        <v>40815</v>
      </c>
      <c r="J17" s="11">
        <f t="shared" si="4"/>
        <v>40822</v>
      </c>
      <c r="K17" s="10">
        <f t="shared" si="4"/>
        <v>40829</v>
      </c>
      <c r="L17" s="10">
        <f t="shared" si="4"/>
        <v>40836</v>
      </c>
      <c r="M17" s="10">
        <f t="shared" si="4"/>
        <v>40843</v>
      </c>
      <c r="N17" s="10">
        <f t="shared" si="4"/>
        <v>40850</v>
      </c>
      <c r="O17" s="10">
        <f t="shared" si="4"/>
        <v>40857</v>
      </c>
      <c r="P17" s="10">
        <f t="shared" si="4"/>
        <v>40864</v>
      </c>
      <c r="Q17" s="10">
        <f t="shared" si="4"/>
        <v>40871</v>
      </c>
      <c r="R17" s="10">
        <f t="shared" si="4"/>
        <v>40878</v>
      </c>
      <c r="S17" s="10">
        <f t="shared" si="4"/>
        <v>40885</v>
      </c>
      <c r="T17" s="10">
        <f t="shared" si="4"/>
        <v>40892</v>
      </c>
      <c r="U17" s="10">
        <f t="shared" si="4"/>
        <v>40899</v>
      </c>
      <c r="V17" s="10">
        <f t="shared" si="4"/>
        <v>40906</v>
      </c>
      <c r="W17" s="10">
        <f t="shared" si="4"/>
        <v>40913</v>
      </c>
      <c r="X17" s="10">
        <f t="shared" si="4"/>
        <v>40920</v>
      </c>
      <c r="Y17" s="10">
        <f t="shared" si="4"/>
        <v>40927</v>
      </c>
      <c r="Z17" s="10">
        <f t="shared" si="4"/>
        <v>40934</v>
      </c>
      <c r="AA17" s="10">
        <f t="shared" si="4"/>
        <v>40941</v>
      </c>
      <c r="AB17" s="10">
        <f t="shared" si="4"/>
        <v>40948</v>
      </c>
      <c r="AC17" s="10">
        <f t="shared" si="4"/>
        <v>40955</v>
      </c>
      <c r="AD17" s="10">
        <f t="shared" si="4"/>
        <v>40962</v>
      </c>
      <c r="AE17" s="10">
        <f t="shared" si="4"/>
        <v>40969</v>
      </c>
      <c r="AF17" s="10">
        <f t="shared" si="4"/>
        <v>40976</v>
      </c>
      <c r="AG17" s="10">
        <f t="shared" si="4"/>
        <v>40983</v>
      </c>
      <c r="AH17" s="10">
        <f t="shared" si="4"/>
        <v>40990</v>
      </c>
      <c r="AI17" s="10">
        <f t="shared" si="4"/>
        <v>40997</v>
      </c>
      <c r="AJ17" s="10">
        <f t="shared" si="4"/>
        <v>41004</v>
      </c>
      <c r="AK17" s="10">
        <f t="shared" si="4"/>
        <v>41011</v>
      </c>
      <c r="AL17" s="10">
        <f t="shared" si="4"/>
        <v>41018</v>
      </c>
      <c r="AM17" s="10">
        <f t="shared" si="4"/>
        <v>41025</v>
      </c>
      <c r="AN17" s="10">
        <f t="shared" si="4"/>
        <v>41032</v>
      </c>
      <c r="AO17" s="10">
        <f t="shared" si="4"/>
        <v>41039</v>
      </c>
      <c r="AP17" s="10">
        <f t="shared" si="4"/>
        <v>41046</v>
      </c>
      <c r="AQ17" s="10">
        <f t="shared" si="4"/>
        <v>41053</v>
      </c>
      <c r="AR17" s="10">
        <f t="shared" si="4"/>
        <v>41060</v>
      </c>
      <c r="AS17" s="10">
        <f t="shared" si="4"/>
        <v>41067</v>
      </c>
      <c r="AT17" s="10">
        <f t="shared" si="4"/>
        <v>41074</v>
      </c>
      <c r="AU17" s="10">
        <f t="shared" si="4"/>
        <v>41081</v>
      </c>
      <c r="AV17" s="10">
        <f t="shared" si="4"/>
        <v>41088</v>
      </c>
      <c r="AW17" s="10">
        <f t="shared" si="4"/>
        <v>41095</v>
      </c>
      <c r="AX17" s="10">
        <f t="shared" si="4"/>
        <v>41102</v>
      </c>
      <c r="AY17" s="10">
        <f t="shared" si="4"/>
        <v>41109</v>
      </c>
      <c r="AZ17" s="10">
        <f t="shared" si="4"/>
        <v>41116</v>
      </c>
      <c r="BA17" s="10">
        <f t="shared" si="4"/>
        <v>41123</v>
      </c>
      <c r="BB17" s="10">
        <f t="shared" si="4"/>
        <v>41130</v>
      </c>
      <c r="BC17" s="10">
        <f t="shared" si="4"/>
        <v>41137</v>
      </c>
      <c r="BD17" s="10">
        <f t="shared" si="4"/>
        <v>41144</v>
      </c>
      <c r="BE17" s="10">
        <f t="shared" si="4"/>
        <v>41151</v>
      </c>
      <c r="BF17" s="10">
        <f t="shared" si="4"/>
        <v>41158</v>
      </c>
      <c r="BG17" s="10">
        <f t="shared" si="4"/>
        <v>41165</v>
      </c>
      <c r="BH17" s="10">
        <f t="shared" si="4"/>
        <v>41172</v>
      </c>
      <c r="BI17" s="10">
        <f t="shared" si="4"/>
        <v>41179</v>
      </c>
      <c r="BJ17" s="10">
        <f t="shared" si="4"/>
        <v>41186</v>
      </c>
      <c r="BK17" s="10">
        <f t="shared" si="4"/>
        <v>41193</v>
      </c>
    </row>
    <row r="18" spans="1:63" ht="25.5" customHeight="1" x14ac:dyDescent="0.2">
      <c r="A18" s="27" t="e">
        <f>'BACK SUMMARY'!A5</f>
        <v>#REF!</v>
      </c>
      <c r="B18" s="31" t="e">
        <f>'BACK SUMMARY'!B5</f>
        <v>#REF!</v>
      </c>
      <c r="C18" s="19" t="e">
        <f>'BACK SUMMARY'!C5</f>
        <v>#REF!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</row>
    <row r="19" spans="1:63" ht="25.5" customHeight="1" x14ac:dyDescent="0.2">
      <c r="A19" s="27" t="e">
        <f>'BACK SUMMARY'!A6</f>
        <v>#REF!</v>
      </c>
      <c r="B19" s="31" t="e">
        <f>'BACK SUMMARY'!B6</f>
        <v>#REF!</v>
      </c>
      <c r="C19" s="19" t="e">
        <f>'BACK SUMMARY'!C6</f>
        <v>#REF!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</row>
    <row r="20" spans="1:63" ht="25.5" customHeight="1" x14ac:dyDescent="0.2">
      <c r="A20" s="27" t="e">
        <f>'BACK SUMMARY'!A7</f>
        <v>#REF!</v>
      </c>
      <c r="B20" s="31" t="e">
        <f>'BACK SUMMARY'!B7</f>
        <v>#REF!</v>
      </c>
      <c r="C20" s="19" t="e">
        <f>'BACK SUMMARY'!C7</f>
        <v>#REF!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</row>
    <row r="21" spans="1:63" ht="25.5" customHeight="1" x14ac:dyDescent="0.2">
      <c r="A21" s="27" t="e">
        <f>'BACK SUMMARY'!A8</f>
        <v>#REF!</v>
      </c>
      <c r="B21" s="31" t="e">
        <f>'BACK SUMMARY'!B8</f>
        <v>#REF!</v>
      </c>
      <c r="C21" s="19" t="e">
        <f>'BACK SUMMARY'!C8</f>
        <v>#REF!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</row>
    <row r="22" spans="1:63" ht="25.5" customHeight="1" x14ac:dyDescent="0.2">
      <c r="A22" s="27" t="e">
        <f>'BACK SUMMARY'!A9</f>
        <v>#REF!</v>
      </c>
      <c r="B22" s="31" t="e">
        <f>'BACK SUMMARY'!B9</f>
        <v>#REF!</v>
      </c>
      <c r="C22" s="19" t="e">
        <f>'BACK SUMMARY'!C9</f>
        <v>#REF!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</row>
    <row r="23" spans="1:63" ht="25.5" customHeight="1" x14ac:dyDescent="0.2">
      <c r="A23" s="27" t="e">
        <f>'BACK SUMMARY'!A10</f>
        <v>#REF!</v>
      </c>
      <c r="B23" s="31" t="e">
        <f>'BACK SUMMARY'!B10</f>
        <v>#REF!</v>
      </c>
      <c r="C23" s="19" t="e">
        <f>'BACK SUMMARY'!C10</f>
        <v>#REF!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</row>
    <row r="24" spans="1:63" ht="25.5" customHeight="1" x14ac:dyDescent="0.2">
      <c r="A24" s="27" t="e">
        <f>'BACK SUMMARY'!A11</f>
        <v>#REF!</v>
      </c>
      <c r="B24" s="31" t="e">
        <f>'BACK SUMMARY'!B11</f>
        <v>#REF!</v>
      </c>
      <c r="C24" s="19" t="e">
        <f>'BACK SUMMARY'!C11</f>
        <v>#REF!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</row>
    <row r="25" spans="1:63" ht="25.5" customHeight="1" x14ac:dyDescent="0.2">
      <c r="A25" s="27" t="e">
        <f>'BACK SUMMARY'!A12</f>
        <v>#REF!</v>
      </c>
      <c r="B25" s="31" t="e">
        <f>'BACK SUMMARY'!B12</f>
        <v>#REF!</v>
      </c>
      <c r="C25" s="19" t="e">
        <f>'BACK SUMMARY'!C12</f>
        <v>#REF!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</row>
    <row r="26" spans="1:63" ht="15" x14ac:dyDescent="0.2">
      <c r="A26" s="27"/>
      <c r="B26" s="34" t="e">
        <f t="shared" ref="B26:AG26" si="5">SUM(B18:B25)</f>
        <v>#REF!</v>
      </c>
      <c r="C26" s="34" t="e">
        <f t="shared" si="5"/>
        <v>#REF!</v>
      </c>
      <c r="D26" s="39">
        <f t="shared" si="5"/>
        <v>0</v>
      </c>
      <c r="E26" s="39">
        <f t="shared" si="5"/>
        <v>0</v>
      </c>
      <c r="F26" s="39">
        <f t="shared" si="5"/>
        <v>0</v>
      </c>
      <c r="G26" s="39">
        <f t="shared" si="5"/>
        <v>0</v>
      </c>
      <c r="H26" s="39">
        <f t="shared" si="5"/>
        <v>0</v>
      </c>
      <c r="I26" s="39">
        <f t="shared" si="5"/>
        <v>0</v>
      </c>
      <c r="J26" s="34">
        <f t="shared" si="5"/>
        <v>0</v>
      </c>
      <c r="K26" s="34">
        <f t="shared" si="5"/>
        <v>0</v>
      </c>
      <c r="L26" s="34">
        <f t="shared" si="5"/>
        <v>0</v>
      </c>
      <c r="M26" s="34">
        <f t="shared" si="5"/>
        <v>0</v>
      </c>
      <c r="N26" s="34">
        <f t="shared" si="5"/>
        <v>0</v>
      </c>
      <c r="O26" s="34">
        <f t="shared" si="5"/>
        <v>0</v>
      </c>
      <c r="P26" s="34">
        <f t="shared" si="5"/>
        <v>0</v>
      </c>
      <c r="Q26" s="34">
        <f t="shared" si="5"/>
        <v>0</v>
      </c>
      <c r="R26" s="34">
        <f t="shared" si="5"/>
        <v>0</v>
      </c>
      <c r="S26" s="34">
        <f t="shared" si="5"/>
        <v>0</v>
      </c>
      <c r="T26" s="34">
        <f t="shared" si="5"/>
        <v>0</v>
      </c>
      <c r="U26" s="34">
        <f t="shared" si="5"/>
        <v>0</v>
      </c>
      <c r="V26" s="34">
        <f t="shared" si="5"/>
        <v>0</v>
      </c>
      <c r="W26" s="34">
        <f t="shared" si="5"/>
        <v>0</v>
      </c>
      <c r="X26" s="34">
        <f t="shared" si="5"/>
        <v>0</v>
      </c>
      <c r="Y26" s="34">
        <f t="shared" si="5"/>
        <v>0</v>
      </c>
      <c r="Z26" s="34">
        <f t="shared" si="5"/>
        <v>0</v>
      </c>
      <c r="AA26" s="34">
        <f t="shared" si="5"/>
        <v>0</v>
      </c>
      <c r="AB26" s="34">
        <f t="shared" si="5"/>
        <v>0</v>
      </c>
      <c r="AC26" s="34">
        <f t="shared" si="5"/>
        <v>0</v>
      </c>
      <c r="AD26" s="34">
        <f t="shared" si="5"/>
        <v>0</v>
      </c>
      <c r="AE26" s="34">
        <f t="shared" si="5"/>
        <v>0</v>
      </c>
      <c r="AF26" s="34">
        <f t="shared" si="5"/>
        <v>0</v>
      </c>
      <c r="AG26" s="34">
        <f t="shared" si="5"/>
        <v>0</v>
      </c>
      <c r="AH26" s="34">
        <f t="shared" ref="AH26:BK26" si="6">SUM(AH18:AH25)</f>
        <v>0</v>
      </c>
      <c r="AI26" s="34">
        <f t="shared" si="6"/>
        <v>0</v>
      </c>
      <c r="AJ26" s="34">
        <f t="shared" si="6"/>
        <v>0</v>
      </c>
      <c r="AK26" s="34">
        <f t="shared" si="6"/>
        <v>0</v>
      </c>
      <c r="AL26" s="34">
        <f t="shared" si="6"/>
        <v>0</v>
      </c>
      <c r="AM26" s="34">
        <f t="shared" si="6"/>
        <v>0</v>
      </c>
      <c r="AN26" s="34">
        <f t="shared" si="6"/>
        <v>0</v>
      </c>
      <c r="AO26" s="34">
        <f t="shared" si="6"/>
        <v>0</v>
      </c>
      <c r="AP26" s="34">
        <f t="shared" si="6"/>
        <v>0</v>
      </c>
      <c r="AQ26" s="34">
        <f t="shared" si="6"/>
        <v>0</v>
      </c>
      <c r="AR26" s="34">
        <f t="shared" si="6"/>
        <v>0</v>
      </c>
      <c r="AS26" s="34">
        <f t="shared" si="6"/>
        <v>0</v>
      </c>
      <c r="AT26" s="34">
        <f t="shared" si="6"/>
        <v>0</v>
      </c>
      <c r="AU26" s="34">
        <f t="shared" si="6"/>
        <v>0</v>
      </c>
      <c r="AV26" s="34">
        <f t="shared" si="6"/>
        <v>0</v>
      </c>
      <c r="AW26" s="34">
        <f t="shared" si="6"/>
        <v>0</v>
      </c>
      <c r="AX26" s="34">
        <f t="shared" si="6"/>
        <v>0</v>
      </c>
      <c r="AY26" s="34">
        <f t="shared" si="6"/>
        <v>0</v>
      </c>
      <c r="AZ26" s="34">
        <f t="shared" si="6"/>
        <v>0</v>
      </c>
      <c r="BA26" s="34">
        <f t="shared" si="6"/>
        <v>0</v>
      </c>
      <c r="BB26" s="34">
        <f t="shared" si="6"/>
        <v>0</v>
      </c>
      <c r="BC26" s="34">
        <f t="shared" si="6"/>
        <v>0</v>
      </c>
      <c r="BD26" s="34">
        <f t="shared" si="6"/>
        <v>0</v>
      </c>
      <c r="BE26" s="34">
        <f t="shared" si="6"/>
        <v>0</v>
      </c>
      <c r="BF26" s="34">
        <f t="shared" si="6"/>
        <v>0</v>
      </c>
      <c r="BG26" s="34">
        <f t="shared" si="6"/>
        <v>0</v>
      </c>
      <c r="BH26" s="34">
        <f t="shared" si="6"/>
        <v>0</v>
      </c>
      <c r="BI26" s="34">
        <f t="shared" si="6"/>
        <v>0</v>
      </c>
      <c r="BJ26" s="34">
        <f t="shared" si="6"/>
        <v>0</v>
      </c>
      <c r="BK26" s="34">
        <f t="shared" si="6"/>
        <v>0</v>
      </c>
    </row>
    <row r="28" spans="1:63" x14ac:dyDescent="0.2">
      <c r="C28" s="4" t="s">
        <v>7</v>
      </c>
      <c r="D28" s="7" t="e">
        <f>+D29</f>
        <v>#REF!</v>
      </c>
      <c r="E28" s="7" t="e">
        <f t="shared" ref="E28:AJ28" si="7">+E29-D29</f>
        <v>#REF!</v>
      </c>
      <c r="F28" s="7" t="e">
        <f t="shared" si="7"/>
        <v>#REF!</v>
      </c>
      <c r="G28" s="7" t="e">
        <f t="shared" si="7"/>
        <v>#REF!</v>
      </c>
      <c r="H28" s="7" t="e">
        <f t="shared" si="7"/>
        <v>#REF!</v>
      </c>
      <c r="I28" s="7" t="e">
        <f t="shared" si="7"/>
        <v>#REF!</v>
      </c>
      <c r="J28" s="7" t="e">
        <f t="shared" si="7"/>
        <v>#REF!</v>
      </c>
      <c r="K28" s="7" t="e">
        <f t="shared" si="7"/>
        <v>#REF!</v>
      </c>
      <c r="L28" s="7" t="e">
        <f t="shared" si="7"/>
        <v>#REF!</v>
      </c>
      <c r="M28" s="7" t="e">
        <f t="shared" si="7"/>
        <v>#REF!</v>
      </c>
      <c r="N28" s="7" t="e">
        <f t="shared" si="7"/>
        <v>#REF!</v>
      </c>
      <c r="O28" s="7" t="e">
        <f t="shared" si="7"/>
        <v>#REF!</v>
      </c>
      <c r="P28" s="7" t="e">
        <f t="shared" si="7"/>
        <v>#REF!</v>
      </c>
      <c r="Q28" s="7" t="e">
        <f t="shared" si="7"/>
        <v>#REF!</v>
      </c>
      <c r="R28" s="7" t="e">
        <f t="shared" si="7"/>
        <v>#REF!</v>
      </c>
      <c r="S28" s="7" t="e">
        <f t="shared" si="7"/>
        <v>#REF!</v>
      </c>
      <c r="T28" s="7" t="e">
        <f t="shared" si="7"/>
        <v>#REF!</v>
      </c>
      <c r="U28" s="7" t="e">
        <f t="shared" si="7"/>
        <v>#REF!</v>
      </c>
      <c r="V28" s="7" t="e">
        <f t="shared" si="7"/>
        <v>#REF!</v>
      </c>
      <c r="W28" s="7" t="e">
        <f t="shared" si="7"/>
        <v>#REF!</v>
      </c>
      <c r="X28" s="7" t="e">
        <f t="shared" si="7"/>
        <v>#REF!</v>
      </c>
      <c r="Y28" s="7" t="e">
        <f t="shared" si="7"/>
        <v>#REF!</v>
      </c>
      <c r="Z28" s="7" t="e">
        <f t="shared" si="7"/>
        <v>#REF!</v>
      </c>
      <c r="AA28" s="7" t="e">
        <f t="shared" si="7"/>
        <v>#REF!</v>
      </c>
      <c r="AB28" s="7" t="e">
        <f t="shared" si="7"/>
        <v>#REF!</v>
      </c>
      <c r="AC28" s="7" t="e">
        <f t="shared" si="7"/>
        <v>#REF!</v>
      </c>
      <c r="AD28" s="7" t="e">
        <f t="shared" si="7"/>
        <v>#REF!</v>
      </c>
      <c r="AE28" s="7" t="e">
        <f t="shared" si="7"/>
        <v>#REF!</v>
      </c>
      <c r="AF28" s="7" t="e">
        <f t="shared" si="7"/>
        <v>#REF!</v>
      </c>
      <c r="AG28" s="7" t="e">
        <f t="shared" si="7"/>
        <v>#REF!</v>
      </c>
      <c r="AH28" s="7" t="e">
        <f t="shared" si="7"/>
        <v>#REF!</v>
      </c>
      <c r="AI28" s="7" t="e">
        <f t="shared" si="7"/>
        <v>#REF!</v>
      </c>
      <c r="AJ28" s="7" t="e">
        <f t="shared" si="7"/>
        <v>#REF!</v>
      </c>
      <c r="AK28" s="7" t="e">
        <f t="shared" ref="AK28:BK28" si="8">+AK29-AJ29</f>
        <v>#REF!</v>
      </c>
      <c r="AL28" s="7" t="e">
        <f t="shared" si="8"/>
        <v>#REF!</v>
      </c>
      <c r="AM28" s="7" t="e">
        <f t="shared" si="8"/>
        <v>#REF!</v>
      </c>
      <c r="AN28" s="7" t="e">
        <f t="shared" si="8"/>
        <v>#REF!</v>
      </c>
      <c r="AO28" s="7" t="e">
        <f t="shared" si="8"/>
        <v>#REF!</v>
      </c>
      <c r="AP28" s="7" t="e">
        <f t="shared" si="8"/>
        <v>#REF!</v>
      </c>
      <c r="AQ28" s="7" t="e">
        <f t="shared" si="8"/>
        <v>#REF!</v>
      </c>
      <c r="AR28" s="7" t="e">
        <f t="shared" si="8"/>
        <v>#REF!</v>
      </c>
      <c r="AS28" s="7" t="e">
        <f t="shared" si="8"/>
        <v>#REF!</v>
      </c>
      <c r="AT28" s="7" t="e">
        <f t="shared" si="8"/>
        <v>#REF!</v>
      </c>
      <c r="AU28" s="7" t="e">
        <f t="shared" si="8"/>
        <v>#REF!</v>
      </c>
      <c r="AV28" s="7" t="e">
        <f t="shared" si="8"/>
        <v>#REF!</v>
      </c>
      <c r="AW28" s="7" t="e">
        <f t="shared" si="8"/>
        <v>#REF!</v>
      </c>
      <c r="AX28" s="7" t="e">
        <f t="shared" si="8"/>
        <v>#REF!</v>
      </c>
      <c r="AY28" s="7" t="e">
        <f t="shared" si="8"/>
        <v>#REF!</v>
      </c>
      <c r="AZ28" s="7" t="e">
        <f t="shared" si="8"/>
        <v>#REF!</v>
      </c>
      <c r="BA28" s="7" t="e">
        <f t="shared" si="8"/>
        <v>#REF!</v>
      </c>
      <c r="BB28" s="7" t="e">
        <f t="shared" si="8"/>
        <v>#REF!</v>
      </c>
      <c r="BC28" s="7" t="e">
        <f t="shared" si="8"/>
        <v>#REF!</v>
      </c>
      <c r="BD28" s="7" t="e">
        <f t="shared" si="8"/>
        <v>#REF!</v>
      </c>
      <c r="BE28" s="7" t="e">
        <f t="shared" si="8"/>
        <v>#REF!</v>
      </c>
      <c r="BF28" s="7" t="e">
        <f t="shared" si="8"/>
        <v>#REF!</v>
      </c>
      <c r="BG28" s="7" t="e">
        <f t="shared" si="8"/>
        <v>#REF!</v>
      </c>
      <c r="BH28" s="7" t="e">
        <f t="shared" si="8"/>
        <v>#REF!</v>
      </c>
      <c r="BI28" s="7" t="e">
        <f t="shared" si="8"/>
        <v>#REF!</v>
      </c>
      <c r="BJ28" s="7" t="e">
        <f t="shared" si="8"/>
        <v>#REF!</v>
      </c>
      <c r="BK28" s="7" t="e">
        <f t="shared" si="8"/>
        <v>#REF!</v>
      </c>
    </row>
    <row r="29" spans="1:63" s="3" customFormat="1" ht="22.5" customHeight="1" x14ac:dyDescent="0.2">
      <c r="C29" s="5" t="s">
        <v>9</v>
      </c>
      <c r="D29" s="2" t="e">
        <f>D13</f>
        <v>#REF!</v>
      </c>
      <c r="E29" s="2" t="e">
        <f t="shared" ref="E29:BK29" si="9">E13</f>
        <v>#REF!</v>
      </c>
      <c r="F29" s="2" t="e">
        <f t="shared" si="9"/>
        <v>#REF!</v>
      </c>
      <c r="G29" s="2" t="e">
        <f t="shared" si="9"/>
        <v>#REF!</v>
      </c>
      <c r="H29" s="2" t="e">
        <f t="shared" si="9"/>
        <v>#REF!</v>
      </c>
      <c r="I29" s="2" t="e">
        <f t="shared" si="9"/>
        <v>#REF!</v>
      </c>
      <c r="J29" s="2" t="e">
        <f t="shared" si="9"/>
        <v>#REF!</v>
      </c>
      <c r="K29" s="2" t="e">
        <f t="shared" si="9"/>
        <v>#REF!</v>
      </c>
      <c r="L29" s="2" t="e">
        <f t="shared" si="9"/>
        <v>#REF!</v>
      </c>
      <c r="M29" s="2" t="e">
        <f t="shared" si="9"/>
        <v>#REF!</v>
      </c>
      <c r="N29" s="2" t="e">
        <f t="shared" si="9"/>
        <v>#REF!</v>
      </c>
      <c r="O29" s="2" t="e">
        <f t="shared" si="9"/>
        <v>#REF!</v>
      </c>
      <c r="P29" s="2" t="e">
        <f t="shared" si="9"/>
        <v>#REF!</v>
      </c>
      <c r="Q29" s="2" t="e">
        <f t="shared" si="9"/>
        <v>#REF!</v>
      </c>
      <c r="R29" s="2" t="e">
        <f t="shared" si="9"/>
        <v>#REF!</v>
      </c>
      <c r="S29" s="2" t="e">
        <f t="shared" si="9"/>
        <v>#REF!</v>
      </c>
      <c r="T29" s="2" t="e">
        <f t="shared" si="9"/>
        <v>#REF!</v>
      </c>
      <c r="U29" s="2" t="e">
        <f t="shared" si="9"/>
        <v>#REF!</v>
      </c>
      <c r="V29" s="2" t="e">
        <f t="shared" si="9"/>
        <v>#REF!</v>
      </c>
      <c r="W29" s="2" t="e">
        <f t="shared" si="9"/>
        <v>#REF!</v>
      </c>
      <c r="X29" s="2" t="e">
        <f t="shared" si="9"/>
        <v>#REF!</v>
      </c>
      <c r="Y29" s="2" t="e">
        <f t="shared" si="9"/>
        <v>#REF!</v>
      </c>
      <c r="Z29" s="2" t="e">
        <f t="shared" si="9"/>
        <v>#REF!</v>
      </c>
      <c r="AA29" s="2" t="e">
        <f t="shared" si="9"/>
        <v>#REF!</v>
      </c>
      <c r="AB29" s="2" t="e">
        <f t="shared" si="9"/>
        <v>#REF!</v>
      </c>
      <c r="AC29" s="2" t="e">
        <f t="shared" si="9"/>
        <v>#REF!</v>
      </c>
      <c r="AD29" s="2" t="e">
        <f t="shared" si="9"/>
        <v>#REF!</v>
      </c>
      <c r="AE29" s="2" t="e">
        <f t="shared" si="9"/>
        <v>#REF!</v>
      </c>
      <c r="AF29" s="2" t="e">
        <f t="shared" si="9"/>
        <v>#REF!</v>
      </c>
      <c r="AG29" s="2" t="e">
        <f t="shared" si="9"/>
        <v>#REF!</v>
      </c>
      <c r="AH29" s="2" t="e">
        <f t="shared" si="9"/>
        <v>#REF!</v>
      </c>
      <c r="AI29" s="2" t="e">
        <f t="shared" si="9"/>
        <v>#REF!</v>
      </c>
      <c r="AJ29" s="2" t="e">
        <f t="shared" si="9"/>
        <v>#REF!</v>
      </c>
      <c r="AK29" s="2" t="e">
        <f t="shared" si="9"/>
        <v>#REF!</v>
      </c>
      <c r="AL29" s="2" t="e">
        <f t="shared" si="9"/>
        <v>#REF!</v>
      </c>
      <c r="AM29" s="2" t="e">
        <f t="shared" si="9"/>
        <v>#REF!</v>
      </c>
      <c r="AN29" s="2" t="e">
        <f t="shared" si="9"/>
        <v>#REF!</v>
      </c>
      <c r="AO29" s="2" t="e">
        <f t="shared" si="9"/>
        <v>#REF!</v>
      </c>
      <c r="AP29" s="2" t="e">
        <f t="shared" si="9"/>
        <v>#REF!</v>
      </c>
      <c r="AQ29" s="2" t="e">
        <f t="shared" si="9"/>
        <v>#REF!</v>
      </c>
      <c r="AR29" s="2" t="e">
        <f t="shared" si="9"/>
        <v>#REF!</v>
      </c>
      <c r="AS29" s="2" t="e">
        <f t="shared" si="9"/>
        <v>#REF!</v>
      </c>
      <c r="AT29" s="2" t="e">
        <f t="shared" si="9"/>
        <v>#REF!</v>
      </c>
      <c r="AU29" s="2" t="e">
        <f t="shared" si="9"/>
        <v>#REF!</v>
      </c>
      <c r="AV29" s="2" t="e">
        <f t="shared" si="9"/>
        <v>#REF!</v>
      </c>
      <c r="AW29" s="2" t="e">
        <f t="shared" si="9"/>
        <v>#REF!</v>
      </c>
      <c r="AX29" s="2" t="e">
        <f t="shared" si="9"/>
        <v>#REF!</v>
      </c>
      <c r="AY29" s="2" t="e">
        <f t="shared" si="9"/>
        <v>#REF!</v>
      </c>
      <c r="AZ29" s="2" t="e">
        <f t="shared" si="9"/>
        <v>#REF!</v>
      </c>
      <c r="BA29" s="2" t="e">
        <f t="shared" si="9"/>
        <v>#REF!</v>
      </c>
      <c r="BB29" s="2" t="e">
        <f t="shared" si="9"/>
        <v>#REF!</v>
      </c>
      <c r="BC29" s="2" t="e">
        <f t="shared" si="9"/>
        <v>#REF!</v>
      </c>
      <c r="BD29" s="2" t="e">
        <f t="shared" si="9"/>
        <v>#REF!</v>
      </c>
      <c r="BE29" s="2" t="e">
        <f t="shared" si="9"/>
        <v>#REF!</v>
      </c>
      <c r="BF29" s="2" t="e">
        <f t="shared" si="9"/>
        <v>#REF!</v>
      </c>
      <c r="BG29" s="2" t="e">
        <f t="shared" si="9"/>
        <v>#REF!</v>
      </c>
      <c r="BH29" s="2" t="e">
        <f t="shared" si="9"/>
        <v>#REF!</v>
      </c>
      <c r="BI29" s="2" t="e">
        <f t="shared" si="9"/>
        <v>#REF!</v>
      </c>
      <c r="BJ29" s="2" t="e">
        <f t="shared" si="9"/>
        <v>#REF!</v>
      </c>
      <c r="BK29" s="2" t="e">
        <f t="shared" si="9"/>
        <v>#REF!</v>
      </c>
    </row>
    <row r="30" spans="1:63" x14ac:dyDescent="0.2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</row>
    <row r="31" spans="1:63" x14ac:dyDescent="0.2">
      <c r="C31" s="4" t="s">
        <v>8</v>
      </c>
      <c r="D31" s="7">
        <f>D26</f>
        <v>0</v>
      </c>
      <c r="E31" s="7">
        <f t="shared" ref="E31:J31" si="10">E32-D32</f>
        <v>0</v>
      </c>
      <c r="F31" s="7">
        <f t="shared" si="10"/>
        <v>0</v>
      </c>
      <c r="G31" s="7">
        <f t="shared" si="10"/>
        <v>0</v>
      </c>
      <c r="H31" s="7">
        <f t="shared" si="10"/>
        <v>0</v>
      </c>
      <c r="I31" s="7">
        <f t="shared" si="10"/>
        <v>0</v>
      </c>
      <c r="J31" s="7">
        <f t="shared" si="10"/>
        <v>0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</row>
    <row r="32" spans="1:63" s="3" customFormat="1" ht="22.5" customHeight="1" x14ac:dyDescent="0.2">
      <c r="C32" s="5" t="s">
        <v>10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</row>
    <row r="34" spans="3:58" x14ac:dyDescent="0.2">
      <c r="C34" s="4" t="s">
        <v>2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3:58" x14ac:dyDescent="0.2">
      <c r="C35" s="4"/>
    </row>
    <row r="36" spans="3:58" ht="15.75" x14ac:dyDescent="0.2">
      <c r="C36" s="5" t="s">
        <v>1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</row>
    <row r="38" spans="3:58" x14ac:dyDescent="0.2"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</row>
    <row r="40" spans="3:58" x14ac:dyDescent="0.2">
      <c r="C40" t="s">
        <v>0</v>
      </c>
      <c r="D40" s="23">
        <f>+E4</f>
        <v>41332</v>
      </c>
      <c r="E40" s="23">
        <f>+I4</f>
        <v>41360</v>
      </c>
      <c r="F40" s="23">
        <f>+M4</f>
        <v>41388</v>
      </c>
      <c r="G40" s="23">
        <f>+R4</f>
        <v>41423</v>
      </c>
      <c r="H40" s="23">
        <f>+V4</f>
        <v>41451</v>
      </c>
      <c r="I40" s="23">
        <f>+AA4</f>
        <v>41486</v>
      </c>
      <c r="J40" s="23">
        <f>+AE4</f>
        <v>41514</v>
      </c>
      <c r="K40" s="23">
        <f>+AI4</f>
        <v>41542</v>
      </c>
      <c r="L40" s="23">
        <f>+AN4</f>
        <v>41577</v>
      </c>
      <c r="M40" s="23">
        <f>+AR4</f>
        <v>41605</v>
      </c>
      <c r="N40" s="23">
        <f>+AV4</f>
        <v>41633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</row>
    <row r="41" spans="3:58" x14ac:dyDescent="0.2">
      <c r="D41" s="36" t="e">
        <f>+E13</f>
        <v>#REF!</v>
      </c>
      <c r="E41" s="36" t="e">
        <f>+I13*100</f>
        <v>#REF!</v>
      </c>
      <c r="F41" s="36" t="e">
        <f>+M13*100</f>
        <v>#REF!</v>
      </c>
      <c r="G41" s="36" t="e">
        <f>+R13*100</f>
        <v>#REF!</v>
      </c>
      <c r="H41" s="36" t="e">
        <f>+V13*100</f>
        <v>#REF!</v>
      </c>
      <c r="I41" s="36" t="e">
        <f>+AA13*100</f>
        <v>#REF!</v>
      </c>
      <c r="J41" s="36" t="e">
        <f>+AE13*100</f>
        <v>#REF!</v>
      </c>
      <c r="K41" s="36" t="e">
        <f>+AI13*100</f>
        <v>#REF!</v>
      </c>
      <c r="L41" s="36" t="e">
        <f>+AN13*100</f>
        <v>#REF!</v>
      </c>
      <c r="M41" s="36" t="e">
        <f>+AR13*100</f>
        <v>#REF!</v>
      </c>
      <c r="N41" s="36" t="e">
        <f>+AV13*100</f>
        <v>#REF!</v>
      </c>
    </row>
    <row r="42" spans="3:58" x14ac:dyDescent="0.2">
      <c r="AA42" s="2">
        <v>0.89502487562189037</v>
      </c>
    </row>
    <row r="43" spans="3:58" x14ac:dyDescent="0.2">
      <c r="D43" s="70" t="e">
        <f>+D41</f>
        <v>#REF!</v>
      </c>
      <c r="E43" s="36" t="e">
        <f>+E41-D41</f>
        <v>#REF!</v>
      </c>
      <c r="F43" s="36" t="e">
        <f t="shared" ref="F43:N43" si="11">+F41-E41</f>
        <v>#REF!</v>
      </c>
      <c r="G43" s="36" t="e">
        <f t="shared" si="11"/>
        <v>#REF!</v>
      </c>
      <c r="H43" s="36" t="e">
        <f t="shared" si="11"/>
        <v>#REF!</v>
      </c>
      <c r="I43" s="36" t="e">
        <f t="shared" si="11"/>
        <v>#REF!</v>
      </c>
      <c r="J43" s="36" t="e">
        <f t="shared" si="11"/>
        <v>#REF!</v>
      </c>
      <c r="K43" s="36" t="e">
        <f t="shared" si="11"/>
        <v>#REF!</v>
      </c>
      <c r="L43" s="36" t="e">
        <f t="shared" si="11"/>
        <v>#REF!</v>
      </c>
      <c r="M43" s="36" t="e">
        <f t="shared" si="11"/>
        <v>#REF!</v>
      </c>
      <c r="N43" s="36" t="e">
        <f t="shared" si="11"/>
        <v>#REF!</v>
      </c>
    </row>
    <row r="45" spans="3:58" x14ac:dyDescent="0.2">
      <c r="E45" s="38"/>
      <c r="F45" s="38"/>
      <c r="G45" s="38"/>
      <c r="H45" s="38"/>
      <c r="I45" s="38"/>
      <c r="J45" s="38"/>
      <c r="K45" s="38"/>
      <c r="L45" s="38"/>
      <c r="M45" s="38"/>
    </row>
    <row r="48" spans="3:58" x14ac:dyDescent="0.2">
      <c r="D48">
        <v>0</v>
      </c>
      <c r="E48">
        <v>1</v>
      </c>
      <c r="F48">
        <v>3</v>
      </c>
      <c r="G48">
        <v>1</v>
      </c>
      <c r="H48">
        <v>2</v>
      </c>
      <c r="I48">
        <v>2</v>
      </c>
      <c r="J48">
        <v>5</v>
      </c>
      <c r="K48">
        <v>11</v>
      </c>
      <c r="L48">
        <v>18</v>
      </c>
      <c r="M48">
        <v>16</v>
      </c>
      <c r="N48">
        <v>17</v>
      </c>
    </row>
    <row r="49" spans="3:58" x14ac:dyDescent="0.2">
      <c r="D49" t="e">
        <f>D51/45</f>
        <v>#REF!</v>
      </c>
      <c r="E49" t="e">
        <f t="shared" ref="E49:BF49" si="12">E51/45</f>
        <v>#REF!</v>
      </c>
      <c r="F49" t="e">
        <f t="shared" si="12"/>
        <v>#REF!</v>
      </c>
      <c r="G49" t="e">
        <f t="shared" si="12"/>
        <v>#REF!</v>
      </c>
      <c r="H49" t="e">
        <f t="shared" si="12"/>
        <v>#REF!</v>
      </c>
      <c r="I49" t="e">
        <f t="shared" si="12"/>
        <v>#REF!</v>
      </c>
      <c r="J49" t="e">
        <f t="shared" si="12"/>
        <v>#REF!</v>
      </c>
      <c r="K49" t="e">
        <f t="shared" si="12"/>
        <v>#REF!</v>
      </c>
      <c r="L49" t="e">
        <f t="shared" si="12"/>
        <v>#REF!</v>
      </c>
      <c r="M49" t="e">
        <f t="shared" si="12"/>
        <v>#REF!</v>
      </c>
      <c r="N49" t="e">
        <f t="shared" si="12"/>
        <v>#REF!</v>
      </c>
      <c r="O49" t="e">
        <f t="shared" si="12"/>
        <v>#REF!</v>
      </c>
      <c r="P49" t="e">
        <f t="shared" si="12"/>
        <v>#REF!</v>
      </c>
      <c r="Q49" t="e">
        <f t="shared" si="12"/>
        <v>#REF!</v>
      </c>
      <c r="R49" t="e">
        <f t="shared" si="12"/>
        <v>#REF!</v>
      </c>
      <c r="S49" t="e">
        <f t="shared" si="12"/>
        <v>#REF!</v>
      </c>
      <c r="T49" t="e">
        <f t="shared" si="12"/>
        <v>#REF!</v>
      </c>
      <c r="U49" t="e">
        <f t="shared" si="12"/>
        <v>#REF!</v>
      </c>
      <c r="V49" t="e">
        <f t="shared" si="12"/>
        <v>#REF!</v>
      </c>
      <c r="W49" t="e">
        <f t="shared" si="12"/>
        <v>#REF!</v>
      </c>
      <c r="X49" t="e">
        <f t="shared" si="12"/>
        <v>#REF!</v>
      </c>
      <c r="Y49" t="e">
        <f t="shared" si="12"/>
        <v>#REF!</v>
      </c>
      <c r="Z49" t="e">
        <f t="shared" si="12"/>
        <v>#REF!</v>
      </c>
      <c r="AA49" t="e">
        <f t="shared" si="12"/>
        <v>#REF!</v>
      </c>
      <c r="AB49" t="e">
        <f t="shared" si="12"/>
        <v>#REF!</v>
      </c>
      <c r="AC49" t="e">
        <f t="shared" si="12"/>
        <v>#REF!</v>
      </c>
      <c r="AD49" t="e">
        <f t="shared" si="12"/>
        <v>#REF!</v>
      </c>
      <c r="AE49" t="e">
        <f t="shared" si="12"/>
        <v>#REF!</v>
      </c>
      <c r="AF49" t="e">
        <f t="shared" si="12"/>
        <v>#REF!</v>
      </c>
      <c r="AG49" t="e">
        <f t="shared" si="12"/>
        <v>#REF!</v>
      </c>
      <c r="AH49" t="e">
        <f t="shared" si="12"/>
        <v>#REF!</v>
      </c>
      <c r="AI49" t="e">
        <f t="shared" si="12"/>
        <v>#REF!</v>
      </c>
      <c r="AJ49" t="e">
        <f t="shared" si="12"/>
        <v>#REF!</v>
      </c>
      <c r="AK49" t="e">
        <f t="shared" si="12"/>
        <v>#REF!</v>
      </c>
      <c r="AL49" t="e">
        <f t="shared" si="12"/>
        <v>#REF!</v>
      </c>
      <c r="AM49" t="e">
        <f t="shared" si="12"/>
        <v>#REF!</v>
      </c>
      <c r="AN49" t="e">
        <f t="shared" si="12"/>
        <v>#REF!</v>
      </c>
      <c r="AO49" t="e">
        <f t="shared" si="12"/>
        <v>#REF!</v>
      </c>
      <c r="AP49" t="e">
        <f t="shared" si="12"/>
        <v>#REF!</v>
      </c>
      <c r="AQ49" t="e">
        <f t="shared" si="12"/>
        <v>#REF!</v>
      </c>
      <c r="AR49" t="e">
        <f t="shared" si="12"/>
        <v>#REF!</v>
      </c>
      <c r="AS49" t="e">
        <f t="shared" si="12"/>
        <v>#REF!</v>
      </c>
      <c r="AT49" t="e">
        <f t="shared" si="12"/>
        <v>#REF!</v>
      </c>
      <c r="AU49" t="e">
        <f t="shared" si="12"/>
        <v>#REF!</v>
      </c>
      <c r="AV49" t="e">
        <f t="shared" si="12"/>
        <v>#REF!</v>
      </c>
      <c r="AW49" t="e">
        <f t="shared" si="12"/>
        <v>#REF!</v>
      </c>
      <c r="AX49" t="e">
        <f t="shared" si="12"/>
        <v>#REF!</v>
      </c>
      <c r="AY49" t="e">
        <f t="shared" si="12"/>
        <v>#REF!</v>
      </c>
      <c r="AZ49" t="e">
        <f t="shared" si="12"/>
        <v>#REF!</v>
      </c>
      <c r="BA49" t="e">
        <f t="shared" si="12"/>
        <v>#REF!</v>
      </c>
      <c r="BB49" t="e">
        <f t="shared" si="12"/>
        <v>#REF!</v>
      </c>
      <c r="BC49" t="e">
        <f t="shared" si="12"/>
        <v>#REF!</v>
      </c>
      <c r="BD49" t="e">
        <f t="shared" si="12"/>
        <v>#REF!</v>
      </c>
      <c r="BE49" t="e">
        <f t="shared" si="12"/>
        <v>#REF!</v>
      </c>
      <c r="BF49" t="e">
        <f t="shared" si="12"/>
        <v>#REF!</v>
      </c>
    </row>
    <row r="51" spans="3:58" x14ac:dyDescent="0.2">
      <c r="C51" t="s">
        <v>3</v>
      </c>
      <c r="D51" s="21" t="e">
        <f>D28*#REF!</f>
        <v>#REF!</v>
      </c>
      <c r="E51" s="21" t="e">
        <f>E28*#REF!</f>
        <v>#REF!</v>
      </c>
      <c r="F51" s="21" t="e">
        <f>F28*#REF!</f>
        <v>#REF!</v>
      </c>
      <c r="G51" s="21" t="e">
        <f>G28*#REF!</f>
        <v>#REF!</v>
      </c>
      <c r="H51" s="21" t="e">
        <f>H28*#REF!</f>
        <v>#REF!</v>
      </c>
      <c r="I51" s="21" t="e">
        <f>I28*#REF!</f>
        <v>#REF!</v>
      </c>
      <c r="J51" s="21" t="e">
        <f>J28*#REF!</f>
        <v>#REF!</v>
      </c>
      <c r="K51" s="21" t="e">
        <f>K28*#REF!</f>
        <v>#REF!</v>
      </c>
      <c r="L51" s="21" t="e">
        <f>L28*#REF!</f>
        <v>#REF!</v>
      </c>
      <c r="M51" s="21" t="e">
        <f>M28*#REF!</f>
        <v>#REF!</v>
      </c>
      <c r="N51" s="21" t="e">
        <f>N28*#REF!</f>
        <v>#REF!</v>
      </c>
      <c r="O51" s="21" t="e">
        <f>O28*#REF!</f>
        <v>#REF!</v>
      </c>
      <c r="P51" s="21" t="e">
        <f>P28*#REF!</f>
        <v>#REF!</v>
      </c>
      <c r="Q51" s="21" t="e">
        <f>Q28*#REF!</f>
        <v>#REF!</v>
      </c>
      <c r="R51" s="21" t="e">
        <f>R28*#REF!</f>
        <v>#REF!</v>
      </c>
      <c r="S51" s="21" t="e">
        <f>S28*#REF!</f>
        <v>#REF!</v>
      </c>
      <c r="T51" s="21" t="e">
        <f>T28*#REF!</f>
        <v>#REF!</v>
      </c>
      <c r="U51" s="21" t="e">
        <f>U28*#REF!</f>
        <v>#REF!</v>
      </c>
      <c r="V51" s="21" t="e">
        <f>V28*#REF!</f>
        <v>#REF!</v>
      </c>
      <c r="W51" s="21" t="e">
        <f>W28*#REF!</f>
        <v>#REF!</v>
      </c>
      <c r="X51" s="21" t="e">
        <f>X28*#REF!</f>
        <v>#REF!</v>
      </c>
      <c r="Y51" s="21" t="e">
        <f>Y28*#REF!</f>
        <v>#REF!</v>
      </c>
      <c r="Z51" s="21" t="e">
        <f>Z28*#REF!</f>
        <v>#REF!</v>
      </c>
      <c r="AA51" s="21" t="e">
        <f>AA28*#REF!</f>
        <v>#REF!</v>
      </c>
      <c r="AB51" s="21" t="e">
        <f>AB28*#REF!</f>
        <v>#REF!</v>
      </c>
      <c r="AC51" s="21" t="e">
        <f>AC28*#REF!</f>
        <v>#REF!</v>
      </c>
      <c r="AD51" s="21" t="e">
        <f>AD28*#REF!</f>
        <v>#REF!</v>
      </c>
      <c r="AE51" s="21" t="e">
        <f>AE28*#REF!</f>
        <v>#REF!</v>
      </c>
      <c r="AF51" s="21" t="e">
        <f>AF28*#REF!</f>
        <v>#REF!</v>
      </c>
      <c r="AG51" s="21" t="e">
        <f>AG28*#REF!</f>
        <v>#REF!</v>
      </c>
      <c r="AH51" s="21" t="e">
        <f>AH28*#REF!</f>
        <v>#REF!</v>
      </c>
      <c r="AI51" s="21" t="e">
        <f>AI28*#REF!</f>
        <v>#REF!</v>
      </c>
      <c r="AJ51" s="21" t="e">
        <f>AJ28*#REF!</f>
        <v>#REF!</v>
      </c>
      <c r="AK51" s="21" t="e">
        <f>AK28*#REF!</f>
        <v>#REF!</v>
      </c>
      <c r="AL51" s="21" t="e">
        <f>AL28*#REF!</f>
        <v>#REF!</v>
      </c>
      <c r="AM51" s="21" t="e">
        <f>AM28*#REF!</f>
        <v>#REF!</v>
      </c>
      <c r="AN51" s="21" t="e">
        <f>AN28*#REF!</f>
        <v>#REF!</v>
      </c>
      <c r="AO51" s="21" t="e">
        <f>AO28*#REF!</f>
        <v>#REF!</v>
      </c>
      <c r="AP51" s="21" t="e">
        <f>AP28*#REF!</f>
        <v>#REF!</v>
      </c>
      <c r="AQ51" s="21" t="e">
        <f>AQ28*#REF!</f>
        <v>#REF!</v>
      </c>
      <c r="AR51" s="21" t="e">
        <f>AR28*#REF!</f>
        <v>#REF!</v>
      </c>
      <c r="AS51" s="21" t="e">
        <f>AS28*#REF!</f>
        <v>#REF!</v>
      </c>
      <c r="AT51" s="21" t="e">
        <f>AT28*#REF!</f>
        <v>#REF!</v>
      </c>
      <c r="AU51" s="21" t="e">
        <f>AU28*#REF!</f>
        <v>#REF!</v>
      </c>
      <c r="AV51" s="21" t="e">
        <f>AV28*#REF!</f>
        <v>#REF!</v>
      </c>
      <c r="AW51" s="21" t="e">
        <f>AW28*#REF!</f>
        <v>#REF!</v>
      </c>
      <c r="AX51" s="21" t="e">
        <f>AX28*#REF!</f>
        <v>#REF!</v>
      </c>
      <c r="AY51" s="21" t="e">
        <f>AY28*#REF!</f>
        <v>#REF!</v>
      </c>
      <c r="AZ51" s="21" t="e">
        <f>AZ28*#REF!</f>
        <v>#REF!</v>
      </c>
      <c r="BA51" s="21" t="e">
        <f>BA28*#REF!</f>
        <v>#REF!</v>
      </c>
      <c r="BB51" s="21" t="e">
        <f>BB28*#REF!</f>
        <v>#REF!</v>
      </c>
      <c r="BC51" s="21" t="e">
        <f>BC28*#REF!</f>
        <v>#REF!</v>
      </c>
      <c r="BD51" s="21" t="e">
        <f>BD28*#REF!</f>
        <v>#REF!</v>
      </c>
      <c r="BE51" s="21" t="e">
        <f>BE28*#REF!</f>
        <v>#REF!</v>
      </c>
      <c r="BF51" s="21" t="e">
        <f>BF28*#REF!</f>
        <v>#REF!</v>
      </c>
    </row>
    <row r="52" spans="3:58" x14ac:dyDescent="0.2">
      <c r="C52" t="s">
        <v>5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 t="e">
        <f>R34*#REF!</f>
        <v>#REF!</v>
      </c>
      <c r="S52" s="21" t="e">
        <f>S34*#REF!</f>
        <v>#REF!</v>
      </c>
      <c r="T52" s="21" t="e">
        <f>T34*#REF!</f>
        <v>#REF!</v>
      </c>
      <c r="U52" s="21" t="e">
        <f>U34*#REF!</f>
        <v>#REF!</v>
      </c>
      <c r="V52" s="21" t="e">
        <f>V34*#REF!</f>
        <v>#REF!</v>
      </c>
      <c r="W52" s="21" t="e">
        <f>W34*#REF!</f>
        <v>#REF!</v>
      </c>
      <c r="X52" s="21" t="e">
        <f>X34*#REF!</f>
        <v>#REF!</v>
      </c>
      <c r="Y52" s="21" t="e">
        <f>Y34*#REF!</f>
        <v>#REF!</v>
      </c>
      <c r="Z52" s="21" t="e">
        <f>Z34*#REF!</f>
        <v>#REF!</v>
      </c>
      <c r="AA52" s="21" t="e">
        <f>AA34*#REF!</f>
        <v>#REF!</v>
      </c>
      <c r="AB52" s="21" t="e">
        <f>AB34*#REF!</f>
        <v>#REF!</v>
      </c>
      <c r="AC52" s="21" t="e">
        <f>AC34*#REF!</f>
        <v>#REF!</v>
      </c>
      <c r="AD52" s="21" t="e">
        <f>AD34*#REF!</f>
        <v>#REF!</v>
      </c>
      <c r="AE52" s="21" t="e">
        <f>AE34*#REF!</f>
        <v>#REF!</v>
      </c>
      <c r="AF52" s="21" t="e">
        <f>AF34*#REF!</f>
        <v>#REF!</v>
      </c>
      <c r="AG52" s="21" t="e">
        <f>AG34*#REF!</f>
        <v>#REF!</v>
      </c>
      <c r="AH52" s="21" t="e">
        <f>AH34*#REF!</f>
        <v>#REF!</v>
      </c>
      <c r="AI52" s="21" t="e">
        <f>AI34*#REF!</f>
        <v>#REF!</v>
      </c>
      <c r="AJ52" s="21" t="e">
        <f>AJ34*#REF!</f>
        <v>#REF!</v>
      </c>
      <c r="AK52" s="21" t="e">
        <f>AK34*#REF!</f>
        <v>#REF!</v>
      </c>
      <c r="AL52" s="21" t="e">
        <f>AL34*#REF!</f>
        <v>#REF!</v>
      </c>
      <c r="AM52" s="21" t="e">
        <f>AM34*#REF!</f>
        <v>#REF!</v>
      </c>
      <c r="AN52" s="21" t="e">
        <f>AN34*#REF!</f>
        <v>#REF!</v>
      </c>
      <c r="AO52" s="21" t="e">
        <f>AO34*#REF!</f>
        <v>#REF!</v>
      </c>
      <c r="AP52" s="21" t="e">
        <f>AP34*#REF!</f>
        <v>#REF!</v>
      </c>
      <c r="AQ52" s="21" t="e">
        <f>AQ34*#REF!</f>
        <v>#REF!</v>
      </c>
      <c r="AR52" s="21" t="e">
        <f>AR34*#REF!</f>
        <v>#REF!</v>
      </c>
      <c r="AS52" s="21" t="e">
        <f>AS34*#REF!</f>
        <v>#REF!</v>
      </c>
      <c r="AT52" s="21" t="e">
        <f>AT34*#REF!</f>
        <v>#REF!</v>
      </c>
      <c r="AU52" s="21" t="e">
        <f>AU34*#REF!</f>
        <v>#REF!</v>
      </c>
      <c r="AV52" s="21" t="e">
        <f>AV34*#REF!</f>
        <v>#REF!</v>
      </c>
      <c r="AW52" s="21" t="e">
        <f>AW34*#REF!</f>
        <v>#REF!</v>
      </c>
      <c r="AX52" s="21" t="e">
        <f>AX34*#REF!</f>
        <v>#REF!</v>
      </c>
      <c r="AY52" s="21" t="e">
        <f>AY34*#REF!</f>
        <v>#REF!</v>
      </c>
      <c r="AZ52" s="21" t="e">
        <f>AZ34*#REF!</f>
        <v>#REF!</v>
      </c>
      <c r="BA52" s="21" t="e">
        <f>BA34*#REF!</f>
        <v>#REF!</v>
      </c>
      <c r="BB52" s="21" t="e">
        <f>BB34*#REF!</f>
        <v>#REF!</v>
      </c>
      <c r="BC52" s="21" t="e">
        <f>BC34*#REF!</f>
        <v>#REF!</v>
      </c>
      <c r="BD52" s="21" t="e">
        <f>BD34*#REF!</f>
        <v>#REF!</v>
      </c>
      <c r="BE52" s="21" t="e">
        <f>BE34*#REF!</f>
        <v>#REF!</v>
      </c>
      <c r="BF52" s="21" t="e">
        <f>BF34*#REF!</f>
        <v>#REF!</v>
      </c>
    </row>
    <row r="53" spans="3:58" x14ac:dyDescent="0.2">
      <c r="C53" t="s">
        <v>4</v>
      </c>
      <c r="D53" t="e">
        <f>D30*#REF!</f>
        <v>#REF!</v>
      </c>
      <c r="E53">
        <v>182</v>
      </c>
      <c r="F53">
        <v>181</v>
      </c>
      <c r="G53">
        <v>176</v>
      </c>
      <c r="H53">
        <v>256.5</v>
      </c>
      <c r="I53">
        <v>410</v>
      </c>
      <c r="J53">
        <v>368</v>
      </c>
      <c r="K53">
        <v>486</v>
      </c>
      <c r="L53">
        <v>597</v>
      </c>
      <c r="M53">
        <v>662</v>
      </c>
      <c r="N53">
        <v>492</v>
      </c>
      <c r="O53">
        <v>615.5</v>
      </c>
      <c r="P53">
        <v>588</v>
      </c>
      <c r="Q53">
        <v>108</v>
      </c>
    </row>
    <row r="69" spans="6:9" x14ac:dyDescent="0.2">
      <c r="F69" s="2">
        <v>0</v>
      </c>
      <c r="G69" s="2">
        <v>1.7000000000000001E-2</v>
      </c>
      <c r="H69" s="2">
        <v>2.5999999999999999E-2</v>
      </c>
      <c r="I69" s="2">
        <v>3.6999999999999998E-2</v>
      </c>
    </row>
  </sheetData>
  <phoneticPr fontId="0" type="noConversion"/>
  <pageMargins left="0.5" right="0.5" top="0.5" bottom="0.5" header="0.5" footer="0.5"/>
  <pageSetup paperSize="8" scale="26" orientation="landscape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S69"/>
  <sheetViews>
    <sheetView view="pageBreakPreview" topLeftCell="A13" zoomScale="76" zoomScaleNormal="73" zoomScaleSheetLayoutView="76" workbookViewId="0">
      <selection activeCell="V58" sqref="V58"/>
    </sheetView>
  </sheetViews>
  <sheetFormatPr defaultRowHeight="12.75" x14ac:dyDescent="0.2"/>
  <cols>
    <col min="1" max="1" width="2.85546875" style="45" customWidth="1"/>
    <col min="2" max="2" width="1.28515625" style="45" customWidth="1"/>
    <col min="3" max="3" width="29.42578125" style="45" customWidth="1"/>
    <col min="4" max="41" width="5.42578125" style="45" customWidth="1"/>
    <col min="42" max="42" width="6" style="45" customWidth="1"/>
    <col min="43" max="43" width="5.42578125" style="45" customWidth="1"/>
    <col min="44" max="44" width="1.7109375" style="45" customWidth="1"/>
    <col min="45" max="45" width="21.28515625" style="45" customWidth="1"/>
    <col min="46" max="46" width="11.28515625" style="45" bestFit="1" customWidth="1"/>
    <col min="47" max="48" width="10.28515625" style="45" bestFit="1" customWidth="1"/>
    <col min="49" max="49" width="9.42578125" style="45" bestFit="1" customWidth="1"/>
    <col min="50" max="51" width="9.28515625" style="45" bestFit="1" customWidth="1"/>
    <col min="52" max="52" width="9.5703125" style="45" bestFit="1" customWidth="1"/>
    <col min="53" max="60" width="9.140625" style="45"/>
    <col min="61" max="61" width="12.85546875" style="45" bestFit="1" customWidth="1"/>
    <col min="62" max="16384" width="9.140625" style="45"/>
  </cols>
  <sheetData>
    <row r="1" spans="2:45" ht="8.25" customHeight="1" thickBot="1" x14ac:dyDescent="0.25"/>
    <row r="2" spans="2:45" ht="33" customHeight="1" thickTop="1" thickBot="1" x14ac:dyDescent="0.25">
      <c r="B2" s="152" t="s">
        <v>32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46" t="e">
        <f>CONCATENATE("Date",": 
",TEXT(#REF!,"DD-MMM-YY"))</f>
        <v>#REF!</v>
      </c>
      <c r="AQ2" s="147"/>
      <c r="AR2" s="148"/>
      <c r="AS2" s="44"/>
    </row>
    <row r="3" spans="2:45" ht="33" customHeight="1" thickTop="1" thickBot="1" x14ac:dyDescent="0.25">
      <c r="B3" s="155" t="s">
        <v>31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7"/>
      <c r="AP3" s="149"/>
      <c r="AQ3" s="150"/>
      <c r="AR3" s="151"/>
    </row>
    <row r="4" spans="2:45" ht="13.5" thickTop="1" x14ac:dyDescent="0.2">
      <c r="B4" s="71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72"/>
    </row>
    <row r="5" spans="2:45" x14ac:dyDescent="0.2">
      <c r="B5" s="71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72"/>
    </row>
    <row r="6" spans="2:45" x14ac:dyDescent="0.2">
      <c r="B6" s="71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72"/>
    </row>
    <row r="7" spans="2:45" x14ac:dyDescent="0.2">
      <c r="B7" s="71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72"/>
    </row>
    <row r="8" spans="2:45" x14ac:dyDescent="0.2">
      <c r="B8" s="71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72"/>
    </row>
    <row r="9" spans="2:45" x14ac:dyDescent="0.2">
      <c r="B9" s="71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72"/>
    </row>
    <row r="10" spans="2:45" x14ac:dyDescent="0.2">
      <c r="B10" s="71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72"/>
      <c r="AS10" s="45" t="s">
        <v>28</v>
      </c>
    </row>
    <row r="11" spans="2:45" x14ac:dyDescent="0.2">
      <c r="B11" s="71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72"/>
    </row>
    <row r="12" spans="2:45" x14ac:dyDescent="0.2">
      <c r="B12" s="71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72"/>
    </row>
    <row r="13" spans="2:45" x14ac:dyDescent="0.2">
      <c r="B13" s="71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72"/>
    </row>
    <row r="14" spans="2:45" x14ac:dyDescent="0.2">
      <c r="B14" s="71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72"/>
    </row>
    <row r="15" spans="2:45" x14ac:dyDescent="0.2">
      <c r="B15" s="71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72"/>
    </row>
    <row r="16" spans="2:45" x14ac:dyDescent="0.2">
      <c r="B16" s="71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72"/>
    </row>
    <row r="17" spans="2:44" x14ac:dyDescent="0.2">
      <c r="B17" s="71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72"/>
    </row>
    <row r="18" spans="2:44" x14ac:dyDescent="0.2">
      <c r="B18" s="71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72"/>
    </row>
    <row r="19" spans="2:44" x14ac:dyDescent="0.2">
      <c r="B19" s="71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72"/>
    </row>
    <row r="20" spans="2:44" x14ac:dyDescent="0.2">
      <c r="B20" s="71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72"/>
    </row>
    <row r="21" spans="2:44" x14ac:dyDescent="0.2">
      <c r="B21" s="71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72"/>
    </row>
    <row r="22" spans="2:44" x14ac:dyDescent="0.2">
      <c r="B22" s="71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72"/>
    </row>
    <row r="23" spans="2:44" x14ac:dyDescent="0.2">
      <c r="B23" s="71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72"/>
    </row>
    <row r="24" spans="2:44" x14ac:dyDescent="0.2">
      <c r="B24" s="71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72"/>
    </row>
    <row r="25" spans="2:44" x14ac:dyDescent="0.2">
      <c r="B25" s="71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72"/>
    </row>
    <row r="26" spans="2:44" x14ac:dyDescent="0.2">
      <c r="B26" s="71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72"/>
    </row>
    <row r="27" spans="2:44" x14ac:dyDescent="0.2">
      <c r="B27" s="71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72"/>
    </row>
    <row r="28" spans="2:44" x14ac:dyDescent="0.2">
      <c r="B28" s="71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72"/>
    </row>
    <row r="29" spans="2:44" x14ac:dyDescent="0.2">
      <c r="B29" s="71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72"/>
    </row>
    <row r="30" spans="2:44" x14ac:dyDescent="0.2">
      <c r="B30" s="71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72"/>
    </row>
    <row r="31" spans="2:44" x14ac:dyDescent="0.2">
      <c r="B31" s="71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72"/>
    </row>
    <row r="32" spans="2:44" x14ac:dyDescent="0.2">
      <c r="B32" s="71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72"/>
    </row>
    <row r="33" spans="2:44" x14ac:dyDescent="0.2">
      <c r="B33" s="71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72"/>
    </row>
    <row r="34" spans="2:44" x14ac:dyDescent="0.2">
      <c r="B34" s="71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72"/>
    </row>
    <row r="35" spans="2:44" x14ac:dyDescent="0.2">
      <c r="B35" s="71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72"/>
    </row>
    <row r="36" spans="2:44" x14ac:dyDescent="0.2">
      <c r="B36" s="71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72"/>
    </row>
    <row r="37" spans="2:44" x14ac:dyDescent="0.2">
      <c r="B37" s="71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72"/>
    </row>
    <row r="38" spans="2:44" x14ac:dyDescent="0.2">
      <c r="B38" s="71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72"/>
    </row>
    <row r="39" spans="2:44" x14ac:dyDescent="0.2">
      <c r="B39" s="71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72"/>
    </row>
    <row r="40" spans="2:44" x14ac:dyDescent="0.2">
      <c r="B40" s="71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72"/>
    </row>
    <row r="41" spans="2:44" x14ac:dyDescent="0.2">
      <c r="B41" s="71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72"/>
    </row>
    <row r="42" spans="2:44" x14ac:dyDescent="0.2">
      <c r="B42" s="71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72"/>
    </row>
    <row r="43" spans="2:44" x14ac:dyDescent="0.2">
      <c r="B43" s="71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72"/>
    </row>
    <row r="44" spans="2:44" x14ac:dyDescent="0.2">
      <c r="B44" s="71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72"/>
    </row>
    <row r="45" spans="2:44" x14ac:dyDescent="0.2">
      <c r="B45" s="71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72"/>
    </row>
    <row r="46" spans="2:44" x14ac:dyDescent="0.2">
      <c r="B46" s="71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72"/>
    </row>
    <row r="47" spans="2:44" x14ac:dyDescent="0.2">
      <c r="B47" s="71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72"/>
    </row>
    <row r="48" spans="2:44" x14ac:dyDescent="0.2">
      <c r="B48" s="71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72"/>
    </row>
    <row r="49" spans="2:45" x14ac:dyDescent="0.2">
      <c r="B49" s="71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72"/>
    </row>
    <row r="50" spans="2:45" x14ac:dyDescent="0.2">
      <c r="B50" s="71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72"/>
    </row>
    <row r="51" spans="2:45" ht="8.25" customHeight="1" x14ac:dyDescent="0.2">
      <c r="B51" s="71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72"/>
    </row>
    <row r="52" spans="2:45" ht="13.5" thickBot="1" x14ac:dyDescent="0.25">
      <c r="B52" s="71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72"/>
      <c r="AS52" s="44"/>
    </row>
    <row r="53" spans="2:45" s="47" customFormat="1" ht="58.5" customHeight="1" thickTop="1" thickBot="1" x14ac:dyDescent="0.25">
      <c r="B53" s="73"/>
      <c r="C53" s="80" t="s">
        <v>25</v>
      </c>
      <c r="D53" s="83">
        <f>+'BACK UP S CURVE'!E4</f>
        <v>41332</v>
      </c>
      <c r="E53" s="83">
        <f>+'BACK UP S CURVE'!F4</f>
        <v>41339</v>
      </c>
      <c r="F53" s="83">
        <f>+'BACK UP S CURVE'!G4</f>
        <v>41346</v>
      </c>
      <c r="G53" s="83">
        <f>+'BACK UP S CURVE'!H4</f>
        <v>41353</v>
      </c>
      <c r="H53" s="83">
        <f>+'BACK UP S CURVE'!I4</f>
        <v>41360</v>
      </c>
      <c r="I53" s="83">
        <f>+'BACK UP S CURVE'!J4</f>
        <v>41367</v>
      </c>
      <c r="J53" s="83">
        <f>+'BACK UP S CURVE'!K4</f>
        <v>41374</v>
      </c>
      <c r="K53" s="83">
        <f>+'BACK UP S CURVE'!L4</f>
        <v>41381</v>
      </c>
      <c r="L53" s="83">
        <f>+'BACK UP S CURVE'!M4</f>
        <v>41388</v>
      </c>
      <c r="M53" s="83">
        <f>+'BACK UP S CURVE'!N4</f>
        <v>41395</v>
      </c>
      <c r="N53" s="83">
        <f>+'BACK UP S CURVE'!O4</f>
        <v>41402</v>
      </c>
      <c r="O53" s="83">
        <f>+'BACK UP S CURVE'!P4</f>
        <v>41409</v>
      </c>
      <c r="P53" s="83">
        <f>+'BACK UP S CURVE'!Q4</f>
        <v>41416</v>
      </c>
      <c r="Q53" s="83">
        <f>+'BACK UP S CURVE'!R4</f>
        <v>41423</v>
      </c>
      <c r="R53" s="83">
        <f>+'BACK UP S CURVE'!S4</f>
        <v>41430</v>
      </c>
      <c r="S53" s="83">
        <f>+'BACK UP S CURVE'!T4</f>
        <v>41437</v>
      </c>
      <c r="T53" s="83">
        <f>+'BACK UP S CURVE'!U4</f>
        <v>41444</v>
      </c>
      <c r="U53" s="83">
        <f>+'BACK UP S CURVE'!V4</f>
        <v>41451</v>
      </c>
      <c r="V53" s="83">
        <f>+'BACK UP S CURVE'!W4</f>
        <v>41458</v>
      </c>
      <c r="W53" s="83">
        <f>+'BACK UP S CURVE'!X4</f>
        <v>41465</v>
      </c>
      <c r="X53" s="83">
        <f>+'BACK UP S CURVE'!Y4</f>
        <v>41472</v>
      </c>
      <c r="Y53" s="83">
        <f>+'BACK UP S CURVE'!Z4</f>
        <v>41479</v>
      </c>
      <c r="Z53" s="83">
        <f>+'BACK UP S CURVE'!AA4</f>
        <v>41486</v>
      </c>
      <c r="AA53" s="83">
        <f>+'BACK UP S CURVE'!AB4</f>
        <v>41493</v>
      </c>
      <c r="AB53" s="83">
        <f>+'BACK UP S CURVE'!AC4</f>
        <v>41500</v>
      </c>
      <c r="AC53" s="83">
        <f>+'BACK UP S CURVE'!AD4</f>
        <v>41507</v>
      </c>
      <c r="AD53" s="83">
        <f>+'BACK UP S CURVE'!AE4</f>
        <v>41514</v>
      </c>
      <c r="AE53" s="83">
        <f>+'BACK UP S CURVE'!AF4</f>
        <v>41521</v>
      </c>
      <c r="AF53" s="83">
        <f>+'BACK UP S CURVE'!AG4</f>
        <v>41528</v>
      </c>
      <c r="AG53" s="83">
        <f>+'BACK UP S CURVE'!AH4</f>
        <v>41535</v>
      </c>
      <c r="AH53" s="83">
        <f>+'BACK UP S CURVE'!AI4</f>
        <v>41542</v>
      </c>
      <c r="AI53" s="83">
        <f>+'BACK UP S CURVE'!AJ4</f>
        <v>41549</v>
      </c>
      <c r="AJ53" s="83">
        <f>+'BACK UP S CURVE'!AK4</f>
        <v>41556</v>
      </c>
      <c r="AK53" s="83">
        <f>+'BACK UP S CURVE'!AL4</f>
        <v>41563</v>
      </c>
      <c r="AL53" s="83">
        <f>+'BACK UP S CURVE'!AM4</f>
        <v>41570</v>
      </c>
      <c r="AM53" s="84">
        <f>+'BACK UP S CURVE'!AN4</f>
        <v>41577</v>
      </c>
      <c r="AN53" s="91">
        <f>+'BACK UP S CURVE'!AO4</f>
        <v>41584</v>
      </c>
      <c r="AO53" s="83">
        <f>+'BACK UP S CURVE'!AP4</f>
        <v>41591</v>
      </c>
      <c r="AP53" s="83">
        <f>+'BACK UP S CURVE'!AQ4</f>
        <v>41598</v>
      </c>
      <c r="AQ53" s="84">
        <f>+'BACK UP S CURVE'!AR4</f>
        <v>41605</v>
      </c>
      <c r="AR53" s="78"/>
      <c r="AS53" s="46"/>
    </row>
    <row r="54" spans="2:45" s="47" customFormat="1" ht="44.25" customHeight="1" thickTop="1" x14ac:dyDescent="0.2">
      <c r="B54" s="73"/>
      <c r="C54" s="81" t="s">
        <v>29</v>
      </c>
      <c r="D54" s="85" t="e">
        <f>+'BACK UP S CURVE'!E29</f>
        <v>#REF!</v>
      </c>
      <c r="E54" s="86" t="e">
        <f>+E55-D55</f>
        <v>#REF!</v>
      </c>
      <c r="F54" s="86" t="e">
        <f>+F55-E55</f>
        <v>#REF!</v>
      </c>
      <c r="G54" s="86" t="e">
        <f t="shared" ref="G54:AQ54" si="0">+G55-F55</f>
        <v>#REF!</v>
      </c>
      <c r="H54" s="86" t="e">
        <f t="shared" si="0"/>
        <v>#REF!</v>
      </c>
      <c r="I54" s="86" t="e">
        <f t="shared" si="0"/>
        <v>#REF!</v>
      </c>
      <c r="J54" s="86" t="e">
        <f t="shared" si="0"/>
        <v>#REF!</v>
      </c>
      <c r="K54" s="86" t="e">
        <f t="shared" si="0"/>
        <v>#REF!</v>
      </c>
      <c r="L54" s="86" t="e">
        <f t="shared" si="0"/>
        <v>#REF!</v>
      </c>
      <c r="M54" s="86" t="e">
        <f t="shared" si="0"/>
        <v>#REF!</v>
      </c>
      <c r="N54" s="86" t="e">
        <f t="shared" si="0"/>
        <v>#REF!</v>
      </c>
      <c r="O54" s="86" t="e">
        <f t="shared" si="0"/>
        <v>#REF!</v>
      </c>
      <c r="P54" s="86" t="e">
        <f t="shared" si="0"/>
        <v>#REF!</v>
      </c>
      <c r="Q54" s="86" t="e">
        <f t="shared" si="0"/>
        <v>#REF!</v>
      </c>
      <c r="R54" s="86" t="e">
        <f t="shared" si="0"/>
        <v>#REF!</v>
      </c>
      <c r="S54" s="86" t="e">
        <f t="shared" si="0"/>
        <v>#REF!</v>
      </c>
      <c r="T54" s="86" t="e">
        <f t="shared" si="0"/>
        <v>#REF!</v>
      </c>
      <c r="U54" s="86" t="e">
        <f t="shared" si="0"/>
        <v>#REF!</v>
      </c>
      <c r="V54" s="86" t="e">
        <f t="shared" si="0"/>
        <v>#REF!</v>
      </c>
      <c r="W54" s="86" t="e">
        <f t="shared" si="0"/>
        <v>#REF!</v>
      </c>
      <c r="X54" s="86" t="e">
        <f t="shared" si="0"/>
        <v>#REF!</v>
      </c>
      <c r="Y54" s="86" t="e">
        <f t="shared" si="0"/>
        <v>#REF!</v>
      </c>
      <c r="Z54" s="86" t="e">
        <f t="shared" si="0"/>
        <v>#REF!</v>
      </c>
      <c r="AA54" s="86" t="e">
        <f t="shared" si="0"/>
        <v>#REF!</v>
      </c>
      <c r="AB54" s="86" t="e">
        <f t="shared" si="0"/>
        <v>#REF!</v>
      </c>
      <c r="AC54" s="86" t="e">
        <f t="shared" si="0"/>
        <v>#REF!</v>
      </c>
      <c r="AD54" s="86" t="e">
        <f t="shared" si="0"/>
        <v>#REF!</v>
      </c>
      <c r="AE54" s="86" t="e">
        <f t="shared" si="0"/>
        <v>#REF!</v>
      </c>
      <c r="AF54" s="86" t="e">
        <f t="shared" si="0"/>
        <v>#REF!</v>
      </c>
      <c r="AG54" s="86" t="e">
        <f t="shared" si="0"/>
        <v>#REF!</v>
      </c>
      <c r="AH54" s="86" t="e">
        <f t="shared" si="0"/>
        <v>#REF!</v>
      </c>
      <c r="AI54" s="86" t="e">
        <f t="shared" si="0"/>
        <v>#REF!</v>
      </c>
      <c r="AJ54" s="86" t="e">
        <f t="shared" si="0"/>
        <v>#REF!</v>
      </c>
      <c r="AK54" s="86" t="e">
        <f t="shared" si="0"/>
        <v>#REF!</v>
      </c>
      <c r="AL54" s="86" t="e">
        <f t="shared" si="0"/>
        <v>#REF!</v>
      </c>
      <c r="AM54" s="87" t="e">
        <f t="shared" si="0"/>
        <v>#REF!</v>
      </c>
      <c r="AN54" s="92" t="e">
        <f t="shared" si="0"/>
        <v>#REF!</v>
      </c>
      <c r="AO54" s="86" t="e">
        <f t="shared" si="0"/>
        <v>#REF!</v>
      </c>
      <c r="AP54" s="86" t="e">
        <f t="shared" si="0"/>
        <v>#REF!</v>
      </c>
      <c r="AQ54" s="87" t="e">
        <f t="shared" si="0"/>
        <v>#REF!</v>
      </c>
      <c r="AR54" s="74"/>
      <c r="AS54" s="46"/>
    </row>
    <row r="55" spans="2:45" s="47" customFormat="1" ht="50.25" customHeight="1" thickBot="1" x14ac:dyDescent="0.25">
      <c r="B55" s="73"/>
      <c r="C55" s="82" t="s">
        <v>30</v>
      </c>
      <c r="D55" s="88" t="e">
        <f>+'BACK UP S CURVE'!E29</f>
        <v>#REF!</v>
      </c>
      <c r="E55" s="89" t="e">
        <f>+'BACK UP S CURVE'!F29</f>
        <v>#REF!</v>
      </c>
      <c r="F55" s="89" t="e">
        <f>+'BACK UP S CURVE'!G29</f>
        <v>#REF!</v>
      </c>
      <c r="G55" s="89" t="e">
        <f>+'BACK UP S CURVE'!H29</f>
        <v>#REF!</v>
      </c>
      <c r="H55" s="89" t="e">
        <f>+'BACK UP S CURVE'!I29</f>
        <v>#REF!</v>
      </c>
      <c r="I55" s="89" t="e">
        <f>+'BACK UP S CURVE'!J29</f>
        <v>#REF!</v>
      </c>
      <c r="J55" s="89" t="e">
        <f>+'BACK UP S CURVE'!K29</f>
        <v>#REF!</v>
      </c>
      <c r="K55" s="89" t="e">
        <f>+'BACK UP S CURVE'!L29</f>
        <v>#REF!</v>
      </c>
      <c r="L55" s="89" t="e">
        <f>+'BACK UP S CURVE'!M29</f>
        <v>#REF!</v>
      </c>
      <c r="M55" s="89" t="e">
        <f>+'BACK UP S CURVE'!N29</f>
        <v>#REF!</v>
      </c>
      <c r="N55" s="89" t="e">
        <f>+'BACK UP S CURVE'!O29</f>
        <v>#REF!</v>
      </c>
      <c r="O55" s="89" t="e">
        <f>+'BACK UP S CURVE'!P29</f>
        <v>#REF!</v>
      </c>
      <c r="P55" s="89" t="e">
        <f>+'BACK UP S CURVE'!Q29</f>
        <v>#REF!</v>
      </c>
      <c r="Q55" s="89" t="e">
        <f>+'BACK UP S CURVE'!R29</f>
        <v>#REF!</v>
      </c>
      <c r="R55" s="89" t="e">
        <f>+'BACK UP S CURVE'!S29</f>
        <v>#REF!</v>
      </c>
      <c r="S55" s="89" t="e">
        <f>+'BACK UP S CURVE'!T29</f>
        <v>#REF!</v>
      </c>
      <c r="T55" s="89" t="e">
        <f>+'BACK UP S CURVE'!U29</f>
        <v>#REF!</v>
      </c>
      <c r="U55" s="89" t="e">
        <f>+'BACK UP S CURVE'!V29</f>
        <v>#REF!</v>
      </c>
      <c r="V55" s="89" t="e">
        <f>+'BACK UP S CURVE'!W29</f>
        <v>#REF!</v>
      </c>
      <c r="W55" s="89" t="e">
        <f>+'BACK UP S CURVE'!X29</f>
        <v>#REF!</v>
      </c>
      <c r="X55" s="89" t="e">
        <f>+'BACK UP S CURVE'!Y29</f>
        <v>#REF!</v>
      </c>
      <c r="Y55" s="89" t="e">
        <f>+'BACK UP S CURVE'!Z29</f>
        <v>#REF!</v>
      </c>
      <c r="Z55" s="89" t="e">
        <f>+'BACK UP S CURVE'!AA29</f>
        <v>#REF!</v>
      </c>
      <c r="AA55" s="89" t="e">
        <f>+'BACK UP S CURVE'!AB29</f>
        <v>#REF!</v>
      </c>
      <c r="AB55" s="89" t="e">
        <f>+'BACK UP S CURVE'!AC29</f>
        <v>#REF!</v>
      </c>
      <c r="AC55" s="89" t="e">
        <f>+'BACK UP S CURVE'!AD29</f>
        <v>#REF!</v>
      </c>
      <c r="AD55" s="89" t="e">
        <f>+'BACK UP S CURVE'!AE29</f>
        <v>#REF!</v>
      </c>
      <c r="AE55" s="89" t="e">
        <f>+'BACK UP S CURVE'!AF29</f>
        <v>#REF!</v>
      </c>
      <c r="AF55" s="89" t="e">
        <f>+'BACK UP S CURVE'!AG29</f>
        <v>#REF!</v>
      </c>
      <c r="AG55" s="89" t="e">
        <f>+'BACK UP S CURVE'!AH29</f>
        <v>#REF!</v>
      </c>
      <c r="AH55" s="89" t="e">
        <f>+'BACK UP S CURVE'!AI29</f>
        <v>#REF!</v>
      </c>
      <c r="AI55" s="89" t="e">
        <f>+'BACK UP S CURVE'!AJ29</f>
        <v>#REF!</v>
      </c>
      <c r="AJ55" s="89" t="e">
        <f>+'BACK UP S CURVE'!AK29</f>
        <v>#REF!</v>
      </c>
      <c r="AK55" s="89" t="e">
        <f>+'BACK UP S CURVE'!AL29</f>
        <v>#REF!</v>
      </c>
      <c r="AL55" s="89" t="e">
        <f>+'BACK UP S CURVE'!AM29</f>
        <v>#REF!</v>
      </c>
      <c r="AM55" s="90" t="e">
        <f>+'BACK UP S CURVE'!AN29</f>
        <v>#REF!</v>
      </c>
      <c r="AN55" s="93" t="e">
        <f>+'BACK UP S CURVE'!AO29</f>
        <v>#REF!</v>
      </c>
      <c r="AO55" s="89" t="e">
        <f>+'BACK UP S CURVE'!AP29</f>
        <v>#REF!</v>
      </c>
      <c r="AP55" s="89" t="e">
        <f>+'BACK UP S CURVE'!AQ29</f>
        <v>#REF!</v>
      </c>
      <c r="AQ55" s="90" t="e">
        <f>+'BACK UP S CURVE'!AR29</f>
        <v>#REF!</v>
      </c>
      <c r="AR55" s="79"/>
      <c r="AS55" s="48"/>
    </row>
    <row r="56" spans="2:45" ht="9" customHeight="1" thickTop="1" thickBot="1" x14ac:dyDescent="0.25">
      <c r="B56" s="75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7"/>
      <c r="AS56" s="44"/>
    </row>
    <row r="57" spans="2:45" ht="13.5" thickTop="1" x14ac:dyDescent="0.2"/>
    <row r="58" spans="2:45" ht="15.75" customHeight="1" x14ac:dyDescent="0.2"/>
    <row r="59" spans="2:45" ht="15.75" customHeight="1" x14ac:dyDescent="0.2"/>
    <row r="60" spans="2:45" ht="15.75" customHeight="1" x14ac:dyDescent="0.2">
      <c r="AR60" s="49"/>
      <c r="AS60" s="50"/>
    </row>
    <row r="61" spans="2:45" ht="15.75" customHeight="1" x14ac:dyDescent="0.2">
      <c r="AR61" s="50"/>
    </row>
    <row r="62" spans="2:45" ht="24.75" customHeight="1" x14ac:dyDescent="0.2"/>
    <row r="63" spans="2:45" ht="57" hidden="1" customHeight="1" thickBot="1" x14ac:dyDescent="0.3">
      <c r="B63" s="51" t="s">
        <v>26</v>
      </c>
      <c r="C63" s="52" t="s">
        <v>27</v>
      </c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4"/>
      <c r="AS63" s="55"/>
    </row>
    <row r="64" spans="2:45" ht="0.75" hidden="1" customHeight="1" thickBot="1" x14ac:dyDescent="0.25">
      <c r="B64" s="56"/>
      <c r="C64" s="57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58"/>
      <c r="AS64" s="59"/>
    </row>
    <row r="65" spans="2:45" s="63" customFormat="1" ht="29.25" hidden="1" customHeight="1" x14ac:dyDescent="0.25">
      <c r="B65" s="142"/>
      <c r="C65" s="143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1"/>
      <c r="AS65" s="62"/>
    </row>
    <row r="66" spans="2:45" s="66" customFormat="1" ht="39.75" hidden="1" customHeight="1" x14ac:dyDescent="0.25">
      <c r="B66" s="144"/>
      <c r="C66" s="145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5"/>
      <c r="AS66" s="62"/>
    </row>
    <row r="67" spans="2:45" s="66" customFormat="1" ht="21" hidden="1" customHeight="1" x14ac:dyDescent="0.25">
      <c r="B67" s="144"/>
      <c r="C67" s="145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7"/>
      <c r="AS67" s="62"/>
    </row>
    <row r="68" spans="2:45" s="66" customFormat="1" ht="26.25" hidden="1" customHeight="1" x14ac:dyDescent="0.25">
      <c r="B68" s="144"/>
      <c r="C68" s="145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1"/>
      <c r="AS68" s="62"/>
    </row>
    <row r="69" spans="2:45" s="66" customFormat="1" ht="28.5" hidden="1" customHeight="1" x14ac:dyDescent="0.25">
      <c r="B69" s="144"/>
      <c r="C69" s="145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1"/>
      <c r="AS69" s="62"/>
    </row>
  </sheetData>
  <mergeCells count="5">
    <mergeCell ref="B65:C69"/>
    <mergeCell ref="AP2:AR2"/>
    <mergeCell ref="AP3:AR3"/>
    <mergeCell ref="B2:AO2"/>
    <mergeCell ref="B3:AO3"/>
  </mergeCells>
  <printOptions horizontalCentered="1"/>
  <pageMargins left="0.25" right="0.25" top="0.25" bottom="0.25" header="0.511811023622047" footer="0.196850393700787"/>
  <pageSetup paperSize="8" scale="83" orientation="landscape" horizontalDpi="4294967293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  <pageSetUpPr fitToPage="1"/>
  </sheetPr>
  <dimension ref="A3:F14"/>
  <sheetViews>
    <sheetView view="pageBreakPreview" zoomScale="60" zoomScaleNormal="100" workbookViewId="0">
      <selection activeCell="B43" sqref="B43"/>
    </sheetView>
  </sheetViews>
  <sheetFormatPr defaultRowHeight="12.75" x14ac:dyDescent="0.2"/>
  <cols>
    <col min="1" max="1" width="65.42578125" bestFit="1" customWidth="1"/>
    <col min="2" max="2" width="21.140625" customWidth="1"/>
    <col min="3" max="3" width="28.42578125" customWidth="1"/>
    <col min="4" max="4" width="14.85546875" customWidth="1"/>
    <col min="5" max="5" width="14.28515625" customWidth="1"/>
    <col min="6" max="6" width="14.140625" customWidth="1"/>
  </cols>
  <sheetData>
    <row r="3" spans="1:6" ht="25.5" customHeight="1" x14ac:dyDescent="0.2">
      <c r="A3" s="159" t="s">
        <v>16</v>
      </c>
      <c r="B3" s="160" t="s">
        <v>18</v>
      </c>
      <c r="C3" s="160"/>
      <c r="D3" s="158" t="s">
        <v>12</v>
      </c>
      <c r="E3" s="158"/>
      <c r="F3" s="25"/>
    </row>
    <row r="4" spans="1:6" ht="41.25" customHeight="1" x14ac:dyDescent="0.2">
      <c r="A4" s="159"/>
      <c r="B4" s="160"/>
      <c r="C4" s="160"/>
      <c r="D4" s="25" t="s">
        <v>21</v>
      </c>
      <c r="E4" s="25" t="s">
        <v>20</v>
      </c>
      <c r="F4" s="25" t="s">
        <v>22</v>
      </c>
    </row>
    <row r="5" spans="1:6" ht="24.95" customHeight="1" x14ac:dyDescent="0.35">
      <c r="A5" s="27" t="e">
        <f>#REF!</f>
        <v>#REF!</v>
      </c>
      <c r="B5" s="96" t="e">
        <f>SUM(#REF!)</f>
        <v>#REF!</v>
      </c>
      <c r="C5" s="30" t="e">
        <f t="shared" ref="C5:C12" si="0">B5/$B$13/100</f>
        <v>#REF!</v>
      </c>
      <c r="D5" s="96" t="e">
        <f>SUM(#REF!)</f>
        <v>#REF!</v>
      </c>
      <c r="E5" s="29"/>
      <c r="F5" s="29" t="e">
        <f>SUM(#REF!)</f>
        <v>#REF!</v>
      </c>
    </row>
    <row r="6" spans="1:6" ht="24.95" customHeight="1" x14ac:dyDescent="0.35">
      <c r="A6" s="27" t="e">
        <f>#REF!</f>
        <v>#REF!</v>
      </c>
      <c r="B6" s="96" t="e">
        <f>SUM(#REF!)</f>
        <v>#REF!</v>
      </c>
      <c r="C6" s="30" t="e">
        <f t="shared" si="0"/>
        <v>#REF!</v>
      </c>
      <c r="D6" s="96" t="e">
        <f>SUM(#REF!)</f>
        <v>#REF!</v>
      </c>
      <c r="E6" s="29"/>
      <c r="F6" s="29" t="e">
        <f>SUM(#REF!)</f>
        <v>#REF!</v>
      </c>
    </row>
    <row r="7" spans="1:6" ht="24.95" customHeight="1" x14ac:dyDescent="0.35">
      <c r="A7" s="27" t="e">
        <f>#REF!</f>
        <v>#REF!</v>
      </c>
      <c r="B7" s="96" t="e">
        <f>SUM(#REF!)</f>
        <v>#REF!</v>
      </c>
      <c r="C7" s="30" t="e">
        <f t="shared" si="0"/>
        <v>#REF!</v>
      </c>
      <c r="D7" s="96" t="e">
        <f>SUM(#REF!)</f>
        <v>#REF!</v>
      </c>
      <c r="E7" s="29"/>
      <c r="F7" s="29" t="e">
        <f>SUM(#REF!)</f>
        <v>#REF!</v>
      </c>
    </row>
    <row r="8" spans="1:6" ht="24.95" customHeight="1" x14ac:dyDescent="0.35">
      <c r="A8" s="27" t="e">
        <f>#REF!</f>
        <v>#REF!</v>
      </c>
      <c r="B8" s="96" t="e">
        <f>SUM(#REF!)</f>
        <v>#REF!</v>
      </c>
      <c r="C8" s="30" t="e">
        <f t="shared" si="0"/>
        <v>#REF!</v>
      </c>
      <c r="D8" s="96" t="e">
        <f>SUM(#REF!)</f>
        <v>#REF!</v>
      </c>
      <c r="E8" s="29"/>
      <c r="F8" s="29" t="e">
        <f>SUM(#REF!)</f>
        <v>#REF!</v>
      </c>
    </row>
    <row r="9" spans="1:6" ht="24.95" customHeight="1" x14ac:dyDescent="0.35">
      <c r="A9" s="27" t="e">
        <f>#REF!</f>
        <v>#REF!</v>
      </c>
      <c r="B9" s="96" t="e">
        <f>SUM(#REF!)</f>
        <v>#REF!</v>
      </c>
      <c r="C9" s="30" t="e">
        <f t="shared" si="0"/>
        <v>#REF!</v>
      </c>
      <c r="D9" s="96" t="e">
        <f>SUM(#REF!)</f>
        <v>#REF!</v>
      </c>
      <c r="E9" s="29"/>
      <c r="F9" s="29" t="e">
        <f>SUM(#REF!)</f>
        <v>#REF!</v>
      </c>
    </row>
    <row r="10" spans="1:6" ht="24.95" customHeight="1" x14ac:dyDescent="0.35">
      <c r="A10" s="27" t="e">
        <f>#REF!</f>
        <v>#REF!</v>
      </c>
      <c r="B10" s="96" t="e">
        <f>SUM(#REF!)</f>
        <v>#REF!</v>
      </c>
      <c r="C10" s="30" t="e">
        <f t="shared" si="0"/>
        <v>#REF!</v>
      </c>
      <c r="D10" s="96" t="e">
        <f>SUM(#REF!)</f>
        <v>#REF!</v>
      </c>
      <c r="E10" s="29"/>
      <c r="F10" s="29" t="e">
        <f>SUM(#REF!)</f>
        <v>#REF!</v>
      </c>
    </row>
    <row r="11" spans="1:6" ht="24.95" customHeight="1" x14ac:dyDescent="0.35">
      <c r="A11" s="27" t="e">
        <f>#REF!</f>
        <v>#REF!</v>
      </c>
      <c r="B11" s="96" t="e">
        <f>SUM(#REF!)</f>
        <v>#REF!</v>
      </c>
      <c r="C11" s="30" t="e">
        <f t="shared" si="0"/>
        <v>#REF!</v>
      </c>
      <c r="D11" s="96" t="e">
        <f>SUM(#REF!)</f>
        <v>#REF!</v>
      </c>
      <c r="E11" s="29"/>
      <c r="F11" s="29" t="e">
        <f>SUM(#REF!)</f>
        <v>#REF!</v>
      </c>
    </row>
    <row r="12" spans="1:6" ht="24.95" customHeight="1" x14ac:dyDescent="0.35">
      <c r="A12" s="27" t="e">
        <f>#REF!</f>
        <v>#REF!</v>
      </c>
      <c r="B12" s="96" t="e">
        <f>SUM(#REF!)</f>
        <v>#REF!</v>
      </c>
      <c r="C12" s="30" t="e">
        <f t="shared" si="0"/>
        <v>#REF!</v>
      </c>
      <c r="D12" s="96" t="e">
        <f>SUM(#REF!)</f>
        <v>#REF!</v>
      </c>
      <c r="E12" s="29"/>
      <c r="F12" s="29" t="e">
        <f>SUM(#REF!)</f>
        <v>#REF!</v>
      </c>
    </row>
    <row r="13" spans="1:6" ht="24.95" customHeight="1" x14ac:dyDescent="0.3">
      <c r="A13" s="17" t="s">
        <v>17</v>
      </c>
      <c r="B13" s="28" t="e">
        <f>SUM(B5:B12)/100</f>
        <v>#REF!</v>
      </c>
      <c r="C13" s="28" t="e">
        <f>SUM(C5:C12)</f>
        <v>#REF!</v>
      </c>
      <c r="D13" s="97" t="e">
        <f>SUM(D5:D12)</f>
        <v>#REF!</v>
      </c>
      <c r="E13" s="32"/>
      <c r="F13" s="32" t="e">
        <f>SUM(F5:F12)</f>
        <v>#REF!</v>
      </c>
    </row>
    <row r="14" spans="1:6" x14ac:dyDescent="0.2">
      <c r="E14" s="2" t="e">
        <f>+D13-E13</f>
        <v>#REF!</v>
      </c>
    </row>
  </sheetData>
  <mergeCells count="3">
    <mergeCell ref="D3:E3"/>
    <mergeCell ref="A3:A4"/>
    <mergeCell ref="B3:C4"/>
  </mergeCells>
  <phoneticPr fontId="0" type="noConversion"/>
  <pageMargins left="0.75" right="0.75" top="1" bottom="1" header="0.5" footer="0.5"/>
  <pageSetup scale="78" orientation="landscape" r:id="rId1"/>
  <headerFooter alignWithMargins="0"/>
  <colBreaks count="1" manualBreakCount="1">
    <brk id="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tabSelected="1" topLeftCell="A7" workbookViewId="0">
      <selection activeCell="P15" sqref="P14:P15"/>
    </sheetView>
  </sheetViews>
  <sheetFormatPr defaultRowHeight="12.75" x14ac:dyDescent="0.2"/>
  <cols>
    <col min="1" max="1" width="6.28515625" bestFit="1" customWidth="1"/>
    <col min="2" max="2" width="15.85546875" bestFit="1" customWidth="1"/>
    <col min="3" max="6" width="14.7109375" customWidth="1"/>
    <col min="7" max="7" width="14.7109375" bestFit="1" customWidth="1"/>
  </cols>
  <sheetData>
    <row r="1" spans="1:5" ht="45.75" customHeight="1" x14ac:dyDescent="0.2">
      <c r="A1" s="161" t="s">
        <v>279</v>
      </c>
      <c r="B1" s="161"/>
      <c r="C1" s="161"/>
      <c r="D1" s="161"/>
      <c r="E1" s="161"/>
    </row>
    <row r="2" spans="1:5" x14ac:dyDescent="0.2">
      <c r="A2" s="161" t="s">
        <v>33</v>
      </c>
      <c r="B2" s="161"/>
      <c r="C2" s="161"/>
      <c r="D2" s="161"/>
      <c r="E2" s="161"/>
    </row>
    <row r="3" spans="1:5" ht="33" customHeight="1" x14ac:dyDescent="0.2">
      <c r="A3" s="108" t="s">
        <v>36</v>
      </c>
      <c r="B3" s="99" t="s">
        <v>37</v>
      </c>
      <c r="C3" s="99" t="s">
        <v>38</v>
      </c>
      <c r="D3" s="99" t="s">
        <v>40</v>
      </c>
      <c r="E3" s="99" t="s">
        <v>39</v>
      </c>
    </row>
    <row r="4" spans="1:5" x14ac:dyDescent="0.2">
      <c r="A4" s="102">
        <v>1</v>
      </c>
      <c r="B4" s="109" t="s">
        <v>212</v>
      </c>
      <c r="C4" s="109" t="s">
        <v>219</v>
      </c>
      <c r="D4" s="109" t="s">
        <v>222</v>
      </c>
      <c r="E4" s="102"/>
    </row>
    <row r="5" spans="1:5" x14ac:dyDescent="0.2">
      <c r="A5" s="102">
        <v>2</v>
      </c>
      <c r="B5" s="109" t="s">
        <v>213</v>
      </c>
      <c r="C5" s="109" t="s">
        <v>220</v>
      </c>
      <c r="D5" s="109" t="s">
        <v>223</v>
      </c>
      <c r="E5" s="102"/>
    </row>
    <row r="6" spans="1:5" x14ac:dyDescent="0.2">
      <c r="A6" s="102">
        <v>3</v>
      </c>
      <c r="B6" s="109" t="s">
        <v>214</v>
      </c>
      <c r="C6" s="109" t="s">
        <v>221</v>
      </c>
      <c r="D6" s="102"/>
      <c r="E6" s="102"/>
    </row>
    <row r="7" spans="1:5" x14ac:dyDescent="0.2">
      <c r="A7" s="102">
        <v>4</v>
      </c>
      <c r="B7" s="106" t="s">
        <v>217</v>
      </c>
      <c r="C7" s="168" t="s">
        <v>228</v>
      </c>
      <c r="D7" s="102"/>
      <c r="E7" s="102"/>
    </row>
    <row r="8" spans="1:5" x14ac:dyDescent="0.2">
      <c r="A8" s="102">
        <v>5</v>
      </c>
      <c r="B8" s="106" t="s">
        <v>218</v>
      </c>
      <c r="C8" s="109" t="s">
        <v>229</v>
      </c>
      <c r="D8" s="102"/>
      <c r="E8" s="102"/>
    </row>
    <row r="9" spans="1:5" x14ac:dyDescent="0.2">
      <c r="A9" s="102">
        <v>6</v>
      </c>
      <c r="B9" s="106" t="s">
        <v>224</v>
      </c>
      <c r="C9" s="109" t="s">
        <v>230</v>
      </c>
      <c r="D9" s="102"/>
      <c r="E9" s="102"/>
    </row>
    <row r="10" spans="1:5" x14ac:dyDescent="0.2">
      <c r="A10" s="102">
        <v>7</v>
      </c>
      <c r="B10" s="106" t="s">
        <v>225</v>
      </c>
      <c r="C10" s="109" t="s">
        <v>231</v>
      </c>
      <c r="D10" s="102"/>
      <c r="E10" s="102"/>
    </row>
    <row r="11" spans="1:5" x14ac:dyDescent="0.2">
      <c r="A11" s="102">
        <v>8</v>
      </c>
      <c r="B11" s="106" t="s">
        <v>226</v>
      </c>
      <c r="C11" s="109" t="s">
        <v>232</v>
      </c>
      <c r="D11" s="102"/>
      <c r="E11" s="102"/>
    </row>
    <row r="12" spans="1:5" x14ac:dyDescent="0.2">
      <c r="A12" s="102">
        <v>9</v>
      </c>
      <c r="B12" s="106" t="s">
        <v>227</v>
      </c>
      <c r="C12" s="109" t="s">
        <v>233</v>
      </c>
      <c r="D12" s="102"/>
      <c r="E12" s="102"/>
    </row>
    <row r="13" spans="1:5" x14ac:dyDescent="0.2">
      <c r="A13" s="102">
        <v>10</v>
      </c>
      <c r="B13" s="106"/>
      <c r="C13" s="106" t="s">
        <v>234</v>
      </c>
      <c r="D13" s="102"/>
      <c r="E13" s="102"/>
    </row>
    <row r="14" spans="1:5" x14ac:dyDescent="0.2">
      <c r="A14" s="102">
        <v>11</v>
      </c>
      <c r="B14" s="106"/>
      <c r="C14" s="106" t="s">
        <v>235</v>
      </c>
      <c r="D14" s="102"/>
      <c r="E14" s="102"/>
    </row>
    <row r="15" spans="1:5" x14ac:dyDescent="0.2">
      <c r="A15" s="102">
        <v>12</v>
      </c>
      <c r="B15" s="106"/>
      <c r="C15" s="106" t="s">
        <v>236</v>
      </c>
      <c r="D15" s="102"/>
      <c r="E15" s="102"/>
    </row>
    <row r="16" spans="1:5" x14ac:dyDescent="0.2">
      <c r="A16" s="102">
        <v>13</v>
      </c>
      <c r="B16" s="106"/>
      <c r="C16" s="106" t="s">
        <v>237</v>
      </c>
      <c r="D16" s="102"/>
      <c r="E16" s="102"/>
    </row>
    <row r="17" spans="1:6" x14ac:dyDescent="0.2">
      <c r="A17" s="102">
        <v>14</v>
      </c>
      <c r="B17" s="106"/>
      <c r="C17" s="106" t="s">
        <v>238</v>
      </c>
      <c r="D17" s="102"/>
      <c r="E17" s="102"/>
    </row>
    <row r="18" spans="1:6" x14ac:dyDescent="0.2">
      <c r="A18" s="102">
        <v>15</v>
      </c>
      <c r="B18" s="106"/>
      <c r="C18" s="106" t="s">
        <v>239</v>
      </c>
      <c r="D18" s="102"/>
      <c r="E18" s="102"/>
    </row>
    <row r="19" spans="1:6" x14ac:dyDescent="0.2">
      <c r="A19" s="102">
        <v>16</v>
      </c>
      <c r="B19" s="106"/>
      <c r="C19" s="106" t="s">
        <v>240</v>
      </c>
      <c r="D19" s="102"/>
      <c r="E19" s="102"/>
    </row>
    <row r="20" spans="1:6" x14ac:dyDescent="0.2">
      <c r="A20" s="102">
        <v>17</v>
      </c>
      <c r="B20" s="106"/>
      <c r="C20" s="106" t="s">
        <v>241</v>
      </c>
      <c r="D20" s="102"/>
      <c r="E20" s="102"/>
    </row>
    <row r="21" spans="1:6" x14ac:dyDescent="0.2">
      <c r="A21" s="102">
        <v>18</v>
      </c>
      <c r="B21" s="106"/>
      <c r="C21" s="106" t="s">
        <v>242</v>
      </c>
      <c r="D21" s="102"/>
      <c r="E21" s="102"/>
    </row>
    <row r="22" spans="1:6" x14ac:dyDescent="0.2">
      <c r="A22" s="102">
        <v>19</v>
      </c>
      <c r="B22" s="106"/>
      <c r="C22" s="106" t="s">
        <v>215</v>
      </c>
      <c r="D22" s="106"/>
      <c r="E22" s="102"/>
    </row>
    <row r="23" spans="1:6" x14ac:dyDescent="0.2">
      <c r="A23" s="102">
        <v>20</v>
      </c>
      <c r="B23" s="106"/>
      <c r="C23" s="106" t="s">
        <v>216</v>
      </c>
      <c r="D23" s="106"/>
      <c r="E23" s="102"/>
    </row>
    <row r="24" spans="1:6" x14ac:dyDescent="0.2">
      <c r="A24" s="102">
        <v>21</v>
      </c>
      <c r="B24" s="106"/>
      <c r="C24" s="109" t="s">
        <v>245</v>
      </c>
      <c r="D24" s="106"/>
      <c r="E24" s="102"/>
      <c r="F24" s="110" t="s">
        <v>246</v>
      </c>
    </row>
    <row r="25" spans="1:6" x14ac:dyDescent="0.2">
      <c r="A25" s="102">
        <v>22</v>
      </c>
      <c r="B25" s="106"/>
      <c r="C25" s="109" t="s">
        <v>244</v>
      </c>
      <c r="D25" s="106"/>
      <c r="E25" s="102"/>
      <c r="F25" s="110" t="s">
        <v>246</v>
      </c>
    </row>
    <row r="26" spans="1:6" x14ac:dyDescent="0.2">
      <c r="A26" s="1"/>
    </row>
    <row r="27" spans="1:6" x14ac:dyDescent="0.2">
      <c r="A27" s="162" t="s">
        <v>41</v>
      </c>
      <c r="B27" s="163"/>
      <c r="C27" s="163"/>
      <c r="D27" s="163"/>
      <c r="E27" s="164"/>
      <c r="F27" s="120"/>
    </row>
    <row r="28" spans="1:6" ht="24" customHeight="1" x14ac:dyDescent="0.2">
      <c r="A28" s="118" t="s">
        <v>36</v>
      </c>
      <c r="B28" s="100" t="s">
        <v>37</v>
      </c>
      <c r="C28" s="119" t="s">
        <v>38</v>
      </c>
      <c r="D28" s="100" t="s">
        <v>40</v>
      </c>
      <c r="E28" s="99" t="s">
        <v>39</v>
      </c>
      <c r="F28" s="116"/>
    </row>
    <row r="29" spans="1:6" x14ac:dyDescent="0.2">
      <c r="A29" s="102">
        <v>1</v>
      </c>
      <c r="B29" s="106" t="s">
        <v>108</v>
      </c>
      <c r="C29" s="106" t="s">
        <v>113</v>
      </c>
      <c r="D29" s="106" t="s">
        <v>106</v>
      </c>
      <c r="E29" s="122" t="s">
        <v>280</v>
      </c>
      <c r="F29" s="117"/>
    </row>
    <row r="30" spans="1:6" x14ac:dyDescent="0.2">
      <c r="A30" s="102">
        <v>2</v>
      </c>
      <c r="B30" s="106" t="s">
        <v>109</v>
      </c>
      <c r="C30" s="106" t="s">
        <v>115</v>
      </c>
      <c r="D30" s="106" t="s">
        <v>107</v>
      </c>
      <c r="E30" s="122" t="s">
        <v>281</v>
      </c>
      <c r="F30" s="117"/>
    </row>
    <row r="31" spans="1:6" x14ac:dyDescent="0.2">
      <c r="A31" s="102">
        <v>3</v>
      </c>
      <c r="B31" s="106" t="s">
        <v>110</v>
      </c>
      <c r="C31" s="106" t="s">
        <v>114</v>
      </c>
      <c r="D31" s="111" t="s">
        <v>266</v>
      </c>
      <c r="E31" s="103"/>
      <c r="F31" s="115"/>
    </row>
    <row r="32" spans="1:6" x14ac:dyDescent="0.2">
      <c r="A32" s="102">
        <v>4</v>
      </c>
      <c r="B32" s="106" t="s">
        <v>247</v>
      </c>
      <c r="C32" s="106" t="s">
        <v>116</v>
      </c>
      <c r="D32" s="111" t="s">
        <v>265</v>
      </c>
      <c r="E32" s="103"/>
      <c r="F32" s="115"/>
    </row>
    <row r="33" spans="1:8" x14ac:dyDescent="0.2">
      <c r="A33" s="102">
        <v>5</v>
      </c>
      <c r="B33" s="106" t="s">
        <v>111</v>
      </c>
      <c r="C33" s="106" t="s">
        <v>117</v>
      </c>
      <c r="D33" s="111" t="s">
        <v>267</v>
      </c>
      <c r="E33" s="103"/>
      <c r="F33" s="115"/>
    </row>
    <row r="34" spans="1:8" x14ac:dyDescent="0.2">
      <c r="A34" s="102">
        <v>6</v>
      </c>
      <c r="B34" s="106" t="s">
        <v>112</v>
      </c>
      <c r="C34" s="106" t="s">
        <v>118</v>
      </c>
      <c r="D34" s="111" t="s">
        <v>268</v>
      </c>
      <c r="E34" s="103"/>
      <c r="F34" s="115"/>
    </row>
    <row r="35" spans="1:8" x14ac:dyDescent="0.2">
      <c r="A35" s="102">
        <v>7</v>
      </c>
      <c r="B35" s="111" t="s">
        <v>256</v>
      </c>
      <c r="C35" s="106" t="s">
        <v>119</v>
      </c>
      <c r="D35" s="123" t="s">
        <v>288</v>
      </c>
      <c r="E35" s="114"/>
      <c r="F35" s="115"/>
      <c r="H35" s="107" t="s">
        <v>28</v>
      </c>
    </row>
    <row r="36" spans="1:8" x14ac:dyDescent="0.2">
      <c r="A36" s="102">
        <v>8</v>
      </c>
      <c r="B36" s="111" t="s">
        <v>258</v>
      </c>
      <c r="C36" s="106" t="s">
        <v>126</v>
      </c>
      <c r="D36" s="103"/>
      <c r="E36" s="102"/>
      <c r="F36" s="115"/>
      <c r="G36" s="113"/>
    </row>
    <row r="37" spans="1:8" x14ac:dyDescent="0.2">
      <c r="A37" s="102">
        <v>9</v>
      </c>
      <c r="B37" s="111" t="s">
        <v>259</v>
      </c>
      <c r="C37" s="106" t="s">
        <v>127</v>
      </c>
      <c r="D37" s="103"/>
      <c r="E37" s="102"/>
      <c r="F37" s="115"/>
    </row>
    <row r="38" spans="1:8" x14ac:dyDescent="0.2">
      <c r="A38" s="102">
        <v>10</v>
      </c>
      <c r="B38" s="111" t="s">
        <v>257</v>
      </c>
      <c r="C38" s="106" t="s">
        <v>128</v>
      </c>
      <c r="D38" s="102"/>
      <c r="E38" s="102"/>
      <c r="F38" s="115"/>
    </row>
    <row r="39" spans="1:8" x14ac:dyDescent="0.2">
      <c r="A39" s="102">
        <v>11</v>
      </c>
      <c r="B39" s="111" t="s">
        <v>260</v>
      </c>
      <c r="C39" s="106" t="s">
        <v>129</v>
      </c>
      <c r="D39" s="102"/>
      <c r="E39" s="102"/>
      <c r="F39" s="115"/>
    </row>
    <row r="40" spans="1:8" x14ac:dyDescent="0.2">
      <c r="A40" s="102">
        <v>12</v>
      </c>
      <c r="B40" s="111" t="s">
        <v>261</v>
      </c>
      <c r="C40" s="106" t="s">
        <v>130</v>
      </c>
      <c r="D40" s="102"/>
      <c r="E40" s="102"/>
      <c r="F40" s="115"/>
    </row>
    <row r="41" spans="1:8" x14ac:dyDescent="0.2">
      <c r="A41" s="102">
        <v>13</v>
      </c>
      <c r="B41" s="111" t="s">
        <v>262</v>
      </c>
      <c r="C41" s="106" t="s">
        <v>131</v>
      </c>
      <c r="D41" s="102"/>
      <c r="E41" s="102"/>
      <c r="F41" s="115"/>
    </row>
    <row r="42" spans="1:8" x14ac:dyDescent="0.2">
      <c r="A42" s="102">
        <v>14</v>
      </c>
      <c r="B42" s="111" t="s">
        <v>263</v>
      </c>
      <c r="C42" s="106" t="s">
        <v>132</v>
      </c>
      <c r="D42" s="102"/>
      <c r="E42" s="102"/>
      <c r="F42" s="115"/>
    </row>
    <row r="43" spans="1:8" x14ac:dyDescent="0.2">
      <c r="A43" s="102">
        <v>15</v>
      </c>
      <c r="B43" s="111" t="s">
        <v>264</v>
      </c>
      <c r="C43" s="106" t="s">
        <v>133</v>
      </c>
      <c r="D43" s="102"/>
      <c r="E43" s="102"/>
      <c r="F43" s="115"/>
    </row>
    <row r="44" spans="1:8" x14ac:dyDescent="0.2">
      <c r="A44" s="102">
        <v>16</v>
      </c>
      <c r="B44" s="123" t="s">
        <v>282</v>
      </c>
      <c r="C44" s="106" t="s">
        <v>134</v>
      </c>
      <c r="D44" s="102"/>
      <c r="E44" s="102"/>
      <c r="F44" s="115"/>
    </row>
    <row r="45" spans="1:8" x14ac:dyDescent="0.2">
      <c r="A45" s="102">
        <v>17</v>
      </c>
      <c r="B45" s="123" t="s">
        <v>282</v>
      </c>
      <c r="C45" s="106" t="s">
        <v>135</v>
      </c>
      <c r="D45" s="102"/>
      <c r="E45" s="102"/>
      <c r="F45" s="115"/>
    </row>
    <row r="46" spans="1:8" x14ac:dyDescent="0.2">
      <c r="A46" s="102">
        <v>18</v>
      </c>
      <c r="B46" s="123" t="s">
        <v>283</v>
      </c>
      <c r="C46" s="106" t="s">
        <v>136</v>
      </c>
      <c r="D46" s="102"/>
      <c r="E46" s="102"/>
      <c r="F46" s="115"/>
    </row>
    <row r="47" spans="1:8" x14ac:dyDescent="0.2">
      <c r="A47" s="102">
        <v>19</v>
      </c>
      <c r="B47" s="102"/>
      <c r="C47" s="106" t="s">
        <v>120</v>
      </c>
      <c r="D47" s="102"/>
      <c r="E47" s="102"/>
      <c r="F47" s="115"/>
    </row>
    <row r="48" spans="1:8" x14ac:dyDescent="0.2">
      <c r="A48" s="102">
        <v>20</v>
      </c>
      <c r="B48" s="102"/>
      <c r="C48" s="106" t="s">
        <v>121</v>
      </c>
      <c r="D48" s="102"/>
      <c r="E48" s="102"/>
      <c r="F48" s="115"/>
    </row>
    <row r="49" spans="1:7" x14ac:dyDescent="0.2">
      <c r="A49" s="102">
        <v>21</v>
      </c>
      <c r="B49" s="102"/>
      <c r="C49" s="106" t="s">
        <v>122</v>
      </c>
      <c r="D49" s="102"/>
      <c r="E49" s="102"/>
      <c r="F49" s="115"/>
    </row>
    <row r="50" spans="1:7" x14ac:dyDescent="0.2">
      <c r="A50" s="102">
        <v>22</v>
      </c>
      <c r="B50" s="102"/>
      <c r="C50" s="106" t="s">
        <v>125</v>
      </c>
      <c r="D50" s="102"/>
      <c r="E50" s="102"/>
      <c r="F50" s="115"/>
    </row>
    <row r="51" spans="1:7" x14ac:dyDescent="0.2">
      <c r="A51" s="102">
        <v>23</v>
      </c>
      <c r="B51" s="102"/>
      <c r="C51" s="106" t="s">
        <v>123</v>
      </c>
      <c r="D51" s="102"/>
      <c r="E51" s="102"/>
      <c r="F51" s="115"/>
    </row>
    <row r="52" spans="1:7" x14ac:dyDescent="0.2">
      <c r="A52" s="102">
        <v>24</v>
      </c>
      <c r="B52" s="102"/>
      <c r="C52" s="106" t="s">
        <v>124</v>
      </c>
      <c r="D52" s="102"/>
      <c r="E52" s="102"/>
      <c r="F52" s="115"/>
      <c r="G52" s="113"/>
    </row>
    <row r="53" spans="1:7" x14ac:dyDescent="0.2">
      <c r="A53" s="102">
        <v>25</v>
      </c>
      <c r="B53" s="102"/>
      <c r="C53" s="106" t="s">
        <v>248</v>
      </c>
      <c r="D53" s="102"/>
      <c r="E53" s="102"/>
      <c r="F53" s="115"/>
    </row>
    <row r="54" spans="1:7" x14ac:dyDescent="0.2">
      <c r="A54" s="102">
        <v>26</v>
      </c>
      <c r="B54" s="102"/>
      <c r="C54" s="111" t="s">
        <v>270</v>
      </c>
      <c r="D54" s="102"/>
      <c r="E54" s="102"/>
      <c r="F54" s="115"/>
    </row>
    <row r="55" spans="1:7" x14ac:dyDescent="0.2">
      <c r="A55" s="102">
        <v>27</v>
      </c>
      <c r="B55" s="102"/>
      <c r="C55" s="111" t="s">
        <v>271</v>
      </c>
      <c r="D55" s="102"/>
      <c r="E55" s="102"/>
      <c r="F55" s="115"/>
    </row>
    <row r="56" spans="1:7" x14ac:dyDescent="0.2">
      <c r="A56" s="102">
        <v>28</v>
      </c>
      <c r="B56" s="102"/>
      <c r="C56" s="111" t="s">
        <v>272</v>
      </c>
      <c r="D56" s="102"/>
      <c r="E56" s="102"/>
      <c r="F56" s="104"/>
    </row>
    <row r="57" spans="1:7" x14ac:dyDescent="0.2">
      <c r="A57" s="102">
        <v>29</v>
      </c>
      <c r="B57" s="102"/>
      <c r="C57" s="111" t="s">
        <v>273</v>
      </c>
      <c r="D57" s="102"/>
      <c r="E57" s="102"/>
      <c r="F57" s="104"/>
    </row>
    <row r="58" spans="1:7" x14ac:dyDescent="0.2">
      <c r="A58" s="102">
        <v>30</v>
      </c>
      <c r="B58" s="102"/>
      <c r="C58" s="111" t="s">
        <v>274</v>
      </c>
      <c r="D58" s="102"/>
      <c r="E58" s="102"/>
      <c r="F58" s="104"/>
    </row>
    <row r="59" spans="1:7" x14ac:dyDescent="0.2">
      <c r="A59" s="102">
        <v>31</v>
      </c>
      <c r="B59" s="102"/>
      <c r="C59" s="111" t="s">
        <v>275</v>
      </c>
      <c r="D59" s="102"/>
      <c r="E59" s="102"/>
      <c r="F59" s="104"/>
    </row>
    <row r="60" spans="1:7" x14ac:dyDescent="0.2">
      <c r="A60" s="102">
        <v>32</v>
      </c>
      <c r="B60" s="102"/>
      <c r="C60" s="111" t="s">
        <v>276</v>
      </c>
      <c r="D60" s="102"/>
      <c r="E60" s="102"/>
      <c r="F60" s="112" t="s">
        <v>269</v>
      </c>
    </row>
    <row r="61" spans="1:7" x14ac:dyDescent="0.2">
      <c r="A61" s="102">
        <v>33</v>
      </c>
      <c r="B61" s="102"/>
      <c r="C61" s="111" t="s">
        <v>277</v>
      </c>
      <c r="D61" s="102"/>
      <c r="E61" s="102"/>
      <c r="F61" s="104"/>
    </row>
    <row r="62" spans="1:7" x14ac:dyDescent="0.2">
      <c r="A62" s="102">
        <v>34</v>
      </c>
      <c r="B62" s="102"/>
      <c r="C62" s="124" t="s">
        <v>278</v>
      </c>
      <c r="D62" s="102"/>
      <c r="E62" s="102"/>
      <c r="F62" s="104"/>
    </row>
    <row r="63" spans="1:7" x14ac:dyDescent="0.2">
      <c r="A63" s="121">
        <v>35</v>
      </c>
      <c r="B63" s="121"/>
      <c r="C63" s="123" t="s">
        <v>284</v>
      </c>
      <c r="D63" s="121"/>
      <c r="E63" s="121"/>
      <c r="F63" s="104"/>
    </row>
    <row r="64" spans="1:7" x14ac:dyDescent="0.2">
      <c r="A64" s="121">
        <v>36</v>
      </c>
      <c r="B64" s="121"/>
      <c r="C64" s="123" t="s">
        <v>285</v>
      </c>
      <c r="D64" s="121"/>
      <c r="E64" s="121"/>
      <c r="F64" s="104"/>
    </row>
    <row r="65" spans="1:6" x14ac:dyDescent="0.2">
      <c r="A65" s="121">
        <v>37</v>
      </c>
      <c r="B65" s="121"/>
      <c r="C65" s="123" t="s">
        <v>286</v>
      </c>
      <c r="D65" s="121"/>
      <c r="E65" s="121"/>
      <c r="F65" s="104"/>
    </row>
    <row r="66" spans="1:6" x14ac:dyDescent="0.2">
      <c r="A66" s="121">
        <v>38</v>
      </c>
      <c r="B66" s="121"/>
      <c r="C66" s="123" t="s">
        <v>287</v>
      </c>
      <c r="D66" s="121"/>
      <c r="E66" s="121"/>
      <c r="F66" s="104"/>
    </row>
    <row r="68" spans="1:6" x14ac:dyDescent="0.2">
      <c r="A68" s="161" t="s">
        <v>42</v>
      </c>
      <c r="B68" s="161"/>
      <c r="C68" s="161"/>
      <c r="D68" s="161"/>
      <c r="E68" s="161"/>
    </row>
    <row r="69" spans="1:6" ht="24" customHeight="1" x14ac:dyDescent="0.2">
      <c r="A69" s="108" t="s">
        <v>36</v>
      </c>
      <c r="B69" s="99" t="s">
        <v>37</v>
      </c>
      <c r="C69" s="99" t="s">
        <v>38</v>
      </c>
      <c r="D69" s="99" t="s">
        <v>40</v>
      </c>
      <c r="E69" s="99" t="s">
        <v>39</v>
      </c>
    </row>
    <row r="70" spans="1:6" x14ac:dyDescent="0.2">
      <c r="A70" s="102">
        <v>1</v>
      </c>
      <c r="B70" s="106" t="s">
        <v>78</v>
      </c>
      <c r="C70" s="106" t="s">
        <v>105</v>
      </c>
      <c r="D70" s="101" t="s">
        <v>76</v>
      </c>
      <c r="E70" s="101"/>
    </row>
    <row r="71" spans="1:6" x14ac:dyDescent="0.2">
      <c r="A71" s="102">
        <v>2</v>
      </c>
      <c r="B71" s="106" t="s">
        <v>79</v>
      </c>
      <c r="C71" s="106" t="s">
        <v>104</v>
      </c>
      <c r="D71" s="101" t="s">
        <v>77</v>
      </c>
      <c r="E71" s="101"/>
    </row>
    <row r="72" spans="1:6" x14ac:dyDescent="0.2">
      <c r="A72" s="102">
        <v>3</v>
      </c>
      <c r="B72" s="106" t="s">
        <v>80</v>
      </c>
      <c r="C72" s="106" t="s">
        <v>103</v>
      </c>
      <c r="D72" s="105"/>
      <c r="E72" s="105"/>
    </row>
    <row r="73" spans="1:6" x14ac:dyDescent="0.2">
      <c r="A73" s="102">
        <v>4</v>
      </c>
      <c r="B73" s="106" t="s">
        <v>81</v>
      </c>
      <c r="C73" s="106" t="s">
        <v>54</v>
      </c>
      <c r="D73" s="105"/>
      <c r="E73" s="105"/>
    </row>
    <row r="74" spans="1:6" x14ac:dyDescent="0.2">
      <c r="A74" s="102">
        <v>5</v>
      </c>
      <c r="B74" s="106" t="s">
        <v>82</v>
      </c>
      <c r="C74" s="106" t="s">
        <v>102</v>
      </c>
      <c r="D74" s="105"/>
      <c r="E74" s="105"/>
    </row>
    <row r="75" spans="1:6" x14ac:dyDescent="0.2">
      <c r="A75" s="102">
        <v>6</v>
      </c>
      <c r="B75" s="106" t="s">
        <v>83</v>
      </c>
      <c r="C75" s="106" t="s">
        <v>101</v>
      </c>
      <c r="D75" s="105"/>
      <c r="E75" s="105"/>
    </row>
    <row r="76" spans="1:6" x14ac:dyDescent="0.2">
      <c r="A76" s="102">
        <v>7</v>
      </c>
      <c r="B76" s="102"/>
      <c r="C76" s="106" t="s">
        <v>100</v>
      </c>
      <c r="D76" s="105"/>
      <c r="E76" s="105"/>
    </row>
    <row r="77" spans="1:6" x14ac:dyDescent="0.2">
      <c r="A77" s="102">
        <v>8</v>
      </c>
      <c r="B77" s="102"/>
      <c r="C77" s="106" t="s">
        <v>58</v>
      </c>
      <c r="D77" s="105"/>
      <c r="E77" s="105"/>
    </row>
    <row r="78" spans="1:6" x14ac:dyDescent="0.2">
      <c r="A78" s="102">
        <v>9</v>
      </c>
      <c r="B78" s="102"/>
      <c r="C78" s="106" t="s">
        <v>99</v>
      </c>
      <c r="D78" s="105"/>
      <c r="E78" s="105"/>
    </row>
    <row r="79" spans="1:6" x14ac:dyDescent="0.2">
      <c r="A79" s="102">
        <v>10</v>
      </c>
      <c r="B79" s="102"/>
      <c r="C79" s="106" t="s">
        <v>98</v>
      </c>
      <c r="D79" s="105"/>
      <c r="E79" s="105"/>
    </row>
    <row r="80" spans="1:6" x14ac:dyDescent="0.2">
      <c r="A80" s="102">
        <v>11</v>
      </c>
      <c r="B80" s="102"/>
      <c r="C80" s="106" t="s">
        <v>97</v>
      </c>
      <c r="D80" s="105"/>
      <c r="E80" s="105"/>
    </row>
    <row r="81" spans="1:5" x14ac:dyDescent="0.2">
      <c r="A81" s="102">
        <v>12</v>
      </c>
      <c r="B81" s="102"/>
      <c r="C81" s="106" t="s">
        <v>96</v>
      </c>
      <c r="D81" s="105"/>
      <c r="E81" s="105"/>
    </row>
    <row r="82" spans="1:5" x14ac:dyDescent="0.2">
      <c r="A82" s="102">
        <v>13</v>
      </c>
      <c r="B82" s="102"/>
      <c r="C82" s="106" t="s">
        <v>95</v>
      </c>
      <c r="D82" s="105"/>
      <c r="E82" s="105"/>
    </row>
    <row r="83" spans="1:5" x14ac:dyDescent="0.2">
      <c r="A83" s="102">
        <v>14</v>
      </c>
      <c r="B83" s="102"/>
      <c r="C83" s="106" t="s">
        <v>94</v>
      </c>
      <c r="D83" s="105"/>
      <c r="E83" s="105"/>
    </row>
    <row r="84" spans="1:5" x14ac:dyDescent="0.2">
      <c r="A84" s="102">
        <v>15</v>
      </c>
      <c r="B84" s="102"/>
      <c r="C84" s="106" t="s">
        <v>93</v>
      </c>
      <c r="D84" s="105"/>
      <c r="E84" s="105"/>
    </row>
    <row r="85" spans="1:5" x14ac:dyDescent="0.2">
      <c r="A85" s="102">
        <v>16</v>
      </c>
      <c r="B85" s="102"/>
      <c r="C85" s="106" t="s">
        <v>92</v>
      </c>
      <c r="D85" s="105"/>
      <c r="E85" s="105"/>
    </row>
    <row r="86" spans="1:5" x14ac:dyDescent="0.2">
      <c r="A86" s="102">
        <v>17</v>
      </c>
      <c r="B86" s="102"/>
      <c r="C86" s="106" t="s">
        <v>91</v>
      </c>
      <c r="D86" s="105"/>
      <c r="E86" s="105"/>
    </row>
    <row r="87" spans="1:5" x14ac:dyDescent="0.2">
      <c r="A87" s="102">
        <v>18</v>
      </c>
      <c r="B87" s="102"/>
      <c r="C87" s="106" t="s">
        <v>90</v>
      </c>
      <c r="D87" s="105"/>
      <c r="E87" s="105"/>
    </row>
    <row r="88" spans="1:5" x14ac:dyDescent="0.2">
      <c r="A88" s="102">
        <v>19</v>
      </c>
      <c r="B88" s="102"/>
      <c r="C88" s="106" t="s">
        <v>89</v>
      </c>
      <c r="D88" s="105"/>
      <c r="E88" s="105"/>
    </row>
    <row r="89" spans="1:5" x14ac:dyDescent="0.2">
      <c r="A89" s="102">
        <v>20</v>
      </c>
      <c r="B89" s="102"/>
      <c r="C89" s="106" t="s">
        <v>88</v>
      </c>
      <c r="D89" s="105"/>
      <c r="E89" s="105"/>
    </row>
    <row r="90" spans="1:5" x14ac:dyDescent="0.2">
      <c r="A90" s="102">
        <v>21</v>
      </c>
      <c r="B90" s="102"/>
      <c r="C90" s="106" t="s">
        <v>87</v>
      </c>
      <c r="D90" s="105"/>
      <c r="E90" s="105"/>
    </row>
    <row r="91" spans="1:5" x14ac:dyDescent="0.2">
      <c r="A91" s="102">
        <v>22</v>
      </c>
      <c r="B91" s="102"/>
      <c r="C91" s="106" t="s">
        <v>86</v>
      </c>
      <c r="D91" s="105"/>
      <c r="E91" s="105"/>
    </row>
    <row r="92" spans="1:5" x14ac:dyDescent="0.2">
      <c r="A92" s="102">
        <v>23</v>
      </c>
      <c r="B92" s="102"/>
      <c r="C92" s="106" t="s">
        <v>85</v>
      </c>
      <c r="D92" s="105"/>
      <c r="E92" s="105"/>
    </row>
    <row r="93" spans="1:5" x14ac:dyDescent="0.2">
      <c r="A93" s="102">
        <v>24</v>
      </c>
      <c r="B93" s="102"/>
      <c r="C93" s="106" t="s">
        <v>84</v>
      </c>
      <c r="D93" s="105"/>
      <c r="E93" s="105"/>
    </row>
    <row r="94" spans="1:5" x14ac:dyDescent="0.2">
      <c r="A94" s="102">
        <v>25</v>
      </c>
      <c r="B94" s="102"/>
      <c r="C94" s="106" t="s">
        <v>243</v>
      </c>
      <c r="D94" s="105"/>
      <c r="E94" s="105"/>
    </row>
    <row r="96" spans="1:5" x14ac:dyDescent="0.2">
      <c r="A96" s="165" t="s">
        <v>43</v>
      </c>
      <c r="B96" s="166"/>
      <c r="C96" s="166"/>
      <c r="D96" s="166"/>
      <c r="E96" s="167"/>
    </row>
    <row r="97" spans="1:5" ht="24" customHeight="1" x14ac:dyDescent="0.2">
      <c r="A97" s="108" t="s">
        <v>36</v>
      </c>
      <c r="B97" s="99" t="s">
        <v>37</v>
      </c>
      <c r="C97" s="99" t="s">
        <v>38</v>
      </c>
      <c r="D97" s="99" t="s">
        <v>40</v>
      </c>
      <c r="E97" s="99" t="s">
        <v>39</v>
      </c>
    </row>
    <row r="98" spans="1:5" x14ac:dyDescent="0.2">
      <c r="A98" s="102">
        <v>1</v>
      </c>
      <c r="B98" s="106" t="s">
        <v>44</v>
      </c>
      <c r="C98" s="106" t="s">
        <v>48</v>
      </c>
      <c r="D98" s="101" t="s">
        <v>52</v>
      </c>
      <c r="E98" s="122"/>
    </row>
    <row r="99" spans="1:5" x14ac:dyDescent="0.2">
      <c r="A99" s="102">
        <v>2</v>
      </c>
      <c r="B99" s="106" t="s">
        <v>45</v>
      </c>
      <c r="C99" s="106" t="s">
        <v>49</v>
      </c>
      <c r="D99" s="101" t="s">
        <v>53</v>
      </c>
      <c r="E99" s="122"/>
    </row>
    <row r="100" spans="1:5" x14ac:dyDescent="0.2">
      <c r="A100" s="102">
        <v>3</v>
      </c>
      <c r="B100" s="106" t="s">
        <v>46</v>
      </c>
      <c r="C100" s="106" t="s">
        <v>50</v>
      </c>
      <c r="D100" s="122"/>
      <c r="E100" s="105"/>
    </row>
    <row r="101" spans="1:5" x14ac:dyDescent="0.2">
      <c r="A101" s="102">
        <v>4</v>
      </c>
      <c r="B101" s="106" t="s">
        <v>47</v>
      </c>
      <c r="C101" s="106" t="s">
        <v>54</v>
      </c>
      <c r="D101" s="105"/>
      <c r="E101" s="105"/>
    </row>
    <row r="102" spans="1:5" x14ac:dyDescent="0.2">
      <c r="A102" s="102">
        <v>5</v>
      </c>
      <c r="B102" s="106" t="s">
        <v>51</v>
      </c>
      <c r="C102" s="106" t="s">
        <v>55</v>
      </c>
      <c r="D102" s="105"/>
      <c r="E102" s="105"/>
    </row>
    <row r="103" spans="1:5" x14ac:dyDescent="0.2">
      <c r="A103" s="102">
        <v>6</v>
      </c>
      <c r="B103" s="106" t="s">
        <v>61</v>
      </c>
      <c r="C103" s="106" t="s">
        <v>56</v>
      </c>
      <c r="D103" s="105"/>
      <c r="E103" s="105"/>
    </row>
    <row r="104" spans="1:5" x14ac:dyDescent="0.2">
      <c r="A104" s="102">
        <v>7</v>
      </c>
      <c r="B104" s="123"/>
      <c r="C104" s="106" t="s">
        <v>57</v>
      </c>
      <c r="D104" s="105"/>
      <c r="E104" s="105"/>
    </row>
    <row r="105" spans="1:5" x14ac:dyDescent="0.2">
      <c r="A105" s="102">
        <v>8</v>
      </c>
      <c r="B105" s="123"/>
      <c r="C105" s="106" t="s">
        <v>58</v>
      </c>
      <c r="D105" s="105"/>
      <c r="E105" s="105"/>
    </row>
    <row r="106" spans="1:5" x14ac:dyDescent="0.2">
      <c r="A106" s="102">
        <v>9</v>
      </c>
      <c r="B106" s="123"/>
      <c r="C106" s="106" t="s">
        <v>59</v>
      </c>
      <c r="D106" s="105"/>
      <c r="E106" s="105"/>
    </row>
    <row r="107" spans="1:5" x14ac:dyDescent="0.2">
      <c r="A107" s="102">
        <v>10</v>
      </c>
      <c r="B107" s="102"/>
      <c r="C107" s="106" t="s">
        <v>60</v>
      </c>
      <c r="D107" s="105"/>
      <c r="E107" s="105"/>
    </row>
    <row r="108" spans="1:5" x14ac:dyDescent="0.2">
      <c r="A108" s="102">
        <v>11</v>
      </c>
      <c r="B108" s="102"/>
      <c r="C108" s="106" t="s">
        <v>62</v>
      </c>
      <c r="D108" s="105"/>
      <c r="E108" s="105"/>
    </row>
    <row r="109" spans="1:5" x14ac:dyDescent="0.2">
      <c r="A109" s="102">
        <v>12</v>
      </c>
      <c r="B109" s="102"/>
      <c r="C109" s="106" t="s">
        <v>63</v>
      </c>
      <c r="D109" s="105"/>
      <c r="E109" s="105"/>
    </row>
    <row r="110" spans="1:5" x14ac:dyDescent="0.2">
      <c r="A110" s="102">
        <v>13</v>
      </c>
      <c r="B110" s="102"/>
      <c r="C110" s="106" t="s">
        <v>64</v>
      </c>
      <c r="D110" s="105"/>
      <c r="E110" s="105"/>
    </row>
    <row r="111" spans="1:5" x14ac:dyDescent="0.2">
      <c r="A111" s="102">
        <v>14</v>
      </c>
      <c r="B111" s="102"/>
      <c r="C111" s="106" t="s">
        <v>66</v>
      </c>
      <c r="D111" s="105"/>
      <c r="E111" s="105"/>
    </row>
    <row r="112" spans="1:5" x14ac:dyDescent="0.2">
      <c r="A112" s="102">
        <v>15</v>
      </c>
      <c r="B112" s="102"/>
      <c r="C112" s="106" t="s">
        <v>67</v>
      </c>
      <c r="D112" s="105"/>
      <c r="E112" s="105"/>
    </row>
    <row r="113" spans="1:5" x14ac:dyDescent="0.2">
      <c r="A113" s="102">
        <v>16</v>
      </c>
      <c r="B113" s="102"/>
      <c r="C113" s="106" t="s">
        <v>68</v>
      </c>
      <c r="D113" s="105"/>
      <c r="E113" s="105"/>
    </row>
    <row r="114" spans="1:5" x14ac:dyDescent="0.2">
      <c r="A114" s="102">
        <v>17</v>
      </c>
      <c r="B114" s="102"/>
      <c r="C114" s="106" t="s">
        <v>69</v>
      </c>
      <c r="D114" s="105"/>
      <c r="E114" s="105"/>
    </row>
    <row r="115" spans="1:5" x14ac:dyDescent="0.2">
      <c r="A115" s="102">
        <v>18</v>
      </c>
      <c r="B115" s="102"/>
      <c r="C115" s="106" t="s">
        <v>65</v>
      </c>
      <c r="D115" s="105"/>
      <c r="E115" s="105"/>
    </row>
    <row r="116" spans="1:5" x14ac:dyDescent="0.2">
      <c r="A116" s="102">
        <v>19</v>
      </c>
      <c r="B116" s="102"/>
      <c r="C116" s="106" t="s">
        <v>70</v>
      </c>
      <c r="D116" s="105"/>
      <c r="E116" s="105"/>
    </row>
    <row r="117" spans="1:5" x14ac:dyDescent="0.2">
      <c r="A117" s="102">
        <v>20</v>
      </c>
      <c r="B117" s="102"/>
      <c r="C117" s="106" t="s">
        <v>71</v>
      </c>
      <c r="D117" s="105"/>
      <c r="E117" s="105"/>
    </row>
    <row r="118" spans="1:5" x14ac:dyDescent="0.2">
      <c r="A118" s="102">
        <v>21</v>
      </c>
      <c r="B118" s="102"/>
      <c r="C118" s="106" t="s">
        <v>72</v>
      </c>
      <c r="D118" s="105"/>
      <c r="E118" s="105"/>
    </row>
    <row r="119" spans="1:5" x14ac:dyDescent="0.2">
      <c r="A119" s="102">
        <v>22</v>
      </c>
      <c r="B119" s="102"/>
      <c r="C119" s="106" t="s">
        <v>73</v>
      </c>
      <c r="D119" s="105"/>
      <c r="E119" s="105"/>
    </row>
    <row r="120" spans="1:5" x14ac:dyDescent="0.2">
      <c r="A120" s="102">
        <v>23</v>
      </c>
      <c r="B120" s="102"/>
      <c r="C120" s="106" t="s">
        <v>74</v>
      </c>
      <c r="D120" s="105"/>
      <c r="E120" s="105"/>
    </row>
    <row r="121" spans="1:5" x14ac:dyDescent="0.2">
      <c r="A121" s="102">
        <v>24</v>
      </c>
      <c r="B121" s="102"/>
      <c r="C121" s="106" t="s">
        <v>75</v>
      </c>
      <c r="D121" s="105"/>
      <c r="E121" s="105"/>
    </row>
    <row r="122" spans="1:5" x14ac:dyDescent="0.2">
      <c r="A122" s="102">
        <v>25</v>
      </c>
      <c r="B122" s="102"/>
      <c r="C122" s="106" t="s">
        <v>249</v>
      </c>
      <c r="D122" s="105"/>
      <c r="E122" s="105"/>
    </row>
    <row r="123" spans="1:5" x14ac:dyDescent="0.2">
      <c r="A123" s="1"/>
    </row>
    <row r="124" spans="1:5" x14ac:dyDescent="0.2">
      <c r="A124" s="161" t="s">
        <v>34</v>
      </c>
      <c r="B124" s="161"/>
      <c r="C124" s="161"/>
      <c r="D124" s="161"/>
      <c r="E124" s="161"/>
    </row>
    <row r="125" spans="1:5" ht="25.5" customHeight="1" x14ac:dyDescent="0.2">
      <c r="A125" s="108" t="s">
        <v>36</v>
      </c>
      <c r="B125" s="99" t="s">
        <v>37</v>
      </c>
      <c r="C125" s="99" t="s">
        <v>38</v>
      </c>
      <c r="D125" s="99" t="s">
        <v>40</v>
      </c>
      <c r="E125" s="99" t="s">
        <v>39</v>
      </c>
    </row>
    <row r="126" spans="1:5" x14ac:dyDescent="0.2">
      <c r="A126" s="102">
        <v>1</v>
      </c>
      <c r="B126" s="106" t="s">
        <v>166</v>
      </c>
      <c r="C126" s="106" t="s">
        <v>177</v>
      </c>
      <c r="D126" s="101" t="s">
        <v>173</v>
      </c>
      <c r="E126" s="101"/>
    </row>
    <row r="127" spans="1:5" x14ac:dyDescent="0.2">
      <c r="A127" s="102">
        <v>2</v>
      </c>
      <c r="B127" s="106" t="s">
        <v>165</v>
      </c>
      <c r="C127" s="106" t="s">
        <v>178</v>
      </c>
      <c r="D127" s="101" t="s">
        <v>174</v>
      </c>
      <c r="E127" s="101"/>
    </row>
    <row r="128" spans="1:5" x14ac:dyDescent="0.2">
      <c r="A128" s="102">
        <v>3</v>
      </c>
      <c r="B128" s="106" t="s">
        <v>167</v>
      </c>
      <c r="C128" s="106" t="s">
        <v>179</v>
      </c>
      <c r="D128" s="101" t="s">
        <v>176</v>
      </c>
      <c r="E128" s="105"/>
    </row>
    <row r="129" spans="1:5" x14ac:dyDescent="0.2">
      <c r="A129" s="102">
        <v>4</v>
      </c>
      <c r="B129" s="106" t="s">
        <v>168</v>
      </c>
      <c r="C129" s="106" t="s">
        <v>180</v>
      </c>
      <c r="D129" s="101" t="s">
        <v>175</v>
      </c>
      <c r="E129" s="105"/>
    </row>
    <row r="130" spans="1:5" x14ac:dyDescent="0.2">
      <c r="A130" s="102">
        <v>5</v>
      </c>
      <c r="B130" s="106" t="s">
        <v>169</v>
      </c>
      <c r="C130" s="106" t="s">
        <v>181</v>
      </c>
      <c r="D130" s="105"/>
      <c r="E130" s="105"/>
    </row>
    <row r="131" spans="1:5" x14ac:dyDescent="0.2">
      <c r="A131" s="102">
        <v>6</v>
      </c>
      <c r="B131" s="106" t="s">
        <v>170</v>
      </c>
      <c r="C131" s="106" t="s">
        <v>182</v>
      </c>
      <c r="D131" s="105"/>
      <c r="E131" s="105"/>
    </row>
    <row r="132" spans="1:5" x14ac:dyDescent="0.2">
      <c r="A132" s="102">
        <v>7</v>
      </c>
      <c r="B132" s="106" t="s">
        <v>171</v>
      </c>
      <c r="C132" s="106" t="s">
        <v>183</v>
      </c>
      <c r="D132" s="105"/>
      <c r="E132" s="105"/>
    </row>
    <row r="133" spans="1:5" x14ac:dyDescent="0.2">
      <c r="A133" s="102">
        <v>8</v>
      </c>
      <c r="B133" s="106" t="s">
        <v>172</v>
      </c>
      <c r="C133" s="106" t="s">
        <v>184</v>
      </c>
      <c r="D133" s="105"/>
      <c r="E133" s="105"/>
    </row>
    <row r="134" spans="1:5" x14ac:dyDescent="0.2">
      <c r="A134" s="102">
        <v>9</v>
      </c>
      <c r="B134" s="106" t="s">
        <v>203</v>
      </c>
      <c r="C134" s="106" t="s">
        <v>185</v>
      </c>
      <c r="D134" s="105"/>
      <c r="E134" s="105"/>
    </row>
    <row r="135" spans="1:5" x14ac:dyDescent="0.2">
      <c r="A135" s="102">
        <v>10</v>
      </c>
      <c r="B135" s="106" t="s">
        <v>205</v>
      </c>
      <c r="C135" s="106" t="s">
        <v>186</v>
      </c>
      <c r="D135" s="105"/>
      <c r="E135" s="105"/>
    </row>
    <row r="136" spans="1:5" x14ac:dyDescent="0.2">
      <c r="A136" s="102">
        <v>11</v>
      </c>
      <c r="B136" s="106" t="s">
        <v>206</v>
      </c>
      <c r="C136" s="106" t="s">
        <v>187</v>
      </c>
      <c r="D136" s="105"/>
      <c r="E136" s="105"/>
    </row>
    <row r="137" spans="1:5" x14ac:dyDescent="0.2">
      <c r="A137" s="102">
        <v>12</v>
      </c>
      <c r="B137" s="106" t="s">
        <v>207</v>
      </c>
      <c r="C137" s="106" t="s">
        <v>188</v>
      </c>
      <c r="D137" s="105"/>
      <c r="E137" s="105"/>
    </row>
    <row r="138" spans="1:5" x14ac:dyDescent="0.2">
      <c r="A138" s="102">
        <v>13</v>
      </c>
      <c r="B138" s="102"/>
      <c r="C138" s="106" t="s">
        <v>189</v>
      </c>
      <c r="D138" s="105"/>
      <c r="E138" s="105"/>
    </row>
    <row r="139" spans="1:5" x14ac:dyDescent="0.2">
      <c r="A139" s="102">
        <v>14</v>
      </c>
      <c r="B139" s="102"/>
      <c r="C139" s="106" t="s">
        <v>190</v>
      </c>
      <c r="D139" s="105"/>
      <c r="E139" s="105"/>
    </row>
    <row r="140" spans="1:5" x14ac:dyDescent="0.2">
      <c r="A140" s="102">
        <v>15</v>
      </c>
      <c r="B140" s="102"/>
      <c r="C140" s="106" t="s">
        <v>191</v>
      </c>
      <c r="D140" s="105"/>
      <c r="E140" s="105"/>
    </row>
    <row r="141" spans="1:5" x14ac:dyDescent="0.2">
      <c r="A141" s="102">
        <v>16</v>
      </c>
      <c r="B141" s="102"/>
      <c r="C141" s="106" t="s">
        <v>192</v>
      </c>
      <c r="D141" s="105"/>
      <c r="E141" s="105"/>
    </row>
    <row r="142" spans="1:5" x14ac:dyDescent="0.2">
      <c r="A142" s="102">
        <v>17</v>
      </c>
      <c r="B142" s="102"/>
      <c r="C142" s="106" t="s">
        <v>193</v>
      </c>
      <c r="D142" s="105"/>
      <c r="E142" s="105"/>
    </row>
    <row r="143" spans="1:5" x14ac:dyDescent="0.2">
      <c r="A143" s="102">
        <v>18</v>
      </c>
      <c r="B143" s="102"/>
      <c r="C143" s="106" t="s">
        <v>194</v>
      </c>
      <c r="D143" s="105"/>
      <c r="E143" s="105"/>
    </row>
    <row r="144" spans="1:5" x14ac:dyDescent="0.2">
      <c r="A144" s="102">
        <v>19</v>
      </c>
      <c r="B144" s="102"/>
      <c r="C144" s="106" t="s">
        <v>202</v>
      </c>
      <c r="D144" s="105"/>
      <c r="E144" s="105"/>
    </row>
    <row r="145" spans="1:5" x14ac:dyDescent="0.2">
      <c r="A145" s="102">
        <v>20</v>
      </c>
      <c r="B145" s="102"/>
      <c r="C145" s="106" t="s">
        <v>208</v>
      </c>
      <c r="D145" s="105"/>
      <c r="E145" s="105"/>
    </row>
    <row r="146" spans="1:5" x14ac:dyDescent="0.2">
      <c r="A146" s="102">
        <v>21</v>
      </c>
      <c r="B146" s="102"/>
      <c r="C146" s="106" t="s">
        <v>209</v>
      </c>
      <c r="D146" s="105"/>
      <c r="E146" s="105"/>
    </row>
    <row r="147" spans="1:5" x14ac:dyDescent="0.2">
      <c r="A147" s="102">
        <v>22</v>
      </c>
      <c r="B147" s="102"/>
      <c r="C147" s="106" t="s">
        <v>210</v>
      </c>
      <c r="D147" s="105"/>
      <c r="E147" s="105"/>
    </row>
    <row r="148" spans="1:5" x14ac:dyDescent="0.2">
      <c r="A148" s="102">
        <v>23</v>
      </c>
      <c r="B148" s="102"/>
      <c r="C148" s="106" t="s">
        <v>211</v>
      </c>
      <c r="D148" s="105"/>
      <c r="E148" s="105"/>
    </row>
    <row r="149" spans="1:5" x14ac:dyDescent="0.2">
      <c r="A149" s="102">
        <v>24</v>
      </c>
      <c r="B149" s="102"/>
      <c r="C149" s="106" t="s">
        <v>204</v>
      </c>
      <c r="D149" s="105"/>
      <c r="E149" s="105"/>
    </row>
    <row r="150" spans="1:5" x14ac:dyDescent="0.2">
      <c r="A150" s="102">
        <v>25</v>
      </c>
      <c r="B150" s="102"/>
      <c r="C150" s="106" t="s">
        <v>195</v>
      </c>
      <c r="D150" s="105"/>
      <c r="E150" s="105"/>
    </row>
    <row r="151" spans="1:5" x14ac:dyDescent="0.2">
      <c r="A151" s="102">
        <v>26</v>
      </c>
      <c r="B151" s="102"/>
      <c r="C151" s="106" t="s">
        <v>196</v>
      </c>
      <c r="D151" s="105"/>
      <c r="E151" s="105"/>
    </row>
    <row r="152" spans="1:5" x14ac:dyDescent="0.2">
      <c r="A152" s="102">
        <v>27</v>
      </c>
      <c r="B152" s="102"/>
      <c r="C152" s="106" t="s">
        <v>197</v>
      </c>
      <c r="D152" s="105"/>
      <c r="E152" s="105"/>
    </row>
    <row r="153" spans="1:5" x14ac:dyDescent="0.2">
      <c r="A153" s="102">
        <v>28</v>
      </c>
      <c r="B153" s="102"/>
      <c r="C153" s="106" t="s">
        <v>198</v>
      </c>
      <c r="D153" s="105"/>
      <c r="E153" s="105"/>
    </row>
    <row r="154" spans="1:5" x14ac:dyDescent="0.2">
      <c r="A154" s="102">
        <v>29</v>
      </c>
      <c r="B154" s="102"/>
      <c r="C154" s="106" t="s">
        <v>199</v>
      </c>
      <c r="D154" s="105"/>
      <c r="E154" s="105"/>
    </row>
    <row r="155" spans="1:5" x14ac:dyDescent="0.2">
      <c r="A155" s="102">
        <v>30</v>
      </c>
      <c r="B155" s="102"/>
      <c r="C155" s="106" t="s">
        <v>200</v>
      </c>
      <c r="D155" s="105"/>
      <c r="E155" s="105"/>
    </row>
    <row r="156" spans="1:5" x14ac:dyDescent="0.2">
      <c r="A156" s="102">
        <v>31</v>
      </c>
      <c r="B156" s="102"/>
      <c r="C156" s="106" t="s">
        <v>201</v>
      </c>
      <c r="D156" s="105"/>
      <c r="E156" s="105"/>
    </row>
    <row r="157" spans="1:5" x14ac:dyDescent="0.2">
      <c r="A157" s="102">
        <v>32</v>
      </c>
      <c r="B157" s="102"/>
      <c r="C157" s="106" t="s">
        <v>250</v>
      </c>
      <c r="D157" s="105"/>
      <c r="E157" s="105"/>
    </row>
    <row r="158" spans="1:5" x14ac:dyDescent="0.2">
      <c r="A158" s="102">
        <v>33</v>
      </c>
      <c r="B158" s="102"/>
      <c r="C158" s="106" t="s">
        <v>251</v>
      </c>
      <c r="D158" s="105"/>
      <c r="E158" s="105"/>
    </row>
    <row r="159" spans="1:5" x14ac:dyDescent="0.2">
      <c r="A159" s="102">
        <v>34</v>
      </c>
      <c r="B159" s="102"/>
      <c r="C159" s="106" t="s">
        <v>252</v>
      </c>
      <c r="D159" s="105"/>
      <c r="E159" s="105"/>
    </row>
    <row r="160" spans="1:5" x14ac:dyDescent="0.2">
      <c r="A160" s="102">
        <v>35</v>
      </c>
      <c r="B160" s="102"/>
      <c r="C160" s="106" t="s">
        <v>253</v>
      </c>
      <c r="D160" s="105"/>
      <c r="E160" s="105"/>
    </row>
    <row r="161" spans="1:5" x14ac:dyDescent="0.2">
      <c r="A161" s="1"/>
    </row>
    <row r="162" spans="1:5" x14ac:dyDescent="0.2">
      <c r="A162" s="161" t="s">
        <v>35</v>
      </c>
      <c r="B162" s="161"/>
      <c r="C162" s="161"/>
      <c r="D162" s="161"/>
      <c r="E162" s="161"/>
    </row>
    <row r="163" spans="1:5" ht="24" customHeight="1" x14ac:dyDescent="0.2">
      <c r="A163" s="108" t="s">
        <v>36</v>
      </c>
      <c r="B163" s="99" t="s">
        <v>37</v>
      </c>
      <c r="C163" s="99" t="s">
        <v>38</v>
      </c>
      <c r="D163" s="99" t="s">
        <v>40</v>
      </c>
      <c r="E163" s="99" t="s">
        <v>39</v>
      </c>
    </row>
    <row r="164" spans="1:5" x14ac:dyDescent="0.2">
      <c r="A164" s="102">
        <v>1</v>
      </c>
      <c r="B164" s="106" t="s">
        <v>138</v>
      </c>
      <c r="C164" s="106" t="s">
        <v>142</v>
      </c>
      <c r="D164" s="101" t="s">
        <v>151</v>
      </c>
      <c r="E164" s="101"/>
    </row>
    <row r="165" spans="1:5" x14ac:dyDescent="0.2">
      <c r="A165" s="102">
        <v>2</v>
      </c>
      <c r="B165" s="106" t="s">
        <v>137</v>
      </c>
      <c r="C165" s="106" t="s">
        <v>143</v>
      </c>
      <c r="D165" s="101" t="s">
        <v>152</v>
      </c>
      <c r="E165" s="101"/>
    </row>
    <row r="166" spans="1:5" x14ac:dyDescent="0.2">
      <c r="A166" s="102">
        <v>3</v>
      </c>
      <c r="B166" s="106" t="s">
        <v>139</v>
      </c>
      <c r="C166" s="106" t="s">
        <v>144</v>
      </c>
      <c r="D166" s="105"/>
      <c r="E166" s="105"/>
    </row>
    <row r="167" spans="1:5" x14ac:dyDescent="0.2">
      <c r="A167" s="102">
        <v>4</v>
      </c>
      <c r="B167" s="106" t="s">
        <v>140</v>
      </c>
      <c r="C167" s="106" t="s">
        <v>145</v>
      </c>
      <c r="D167" s="105"/>
      <c r="E167" s="105"/>
    </row>
    <row r="168" spans="1:5" x14ac:dyDescent="0.2">
      <c r="A168" s="102">
        <v>5</v>
      </c>
      <c r="B168" s="106" t="s">
        <v>141</v>
      </c>
      <c r="C168" s="106" t="s">
        <v>146</v>
      </c>
      <c r="D168" s="105"/>
      <c r="E168" s="105"/>
    </row>
    <row r="169" spans="1:5" x14ac:dyDescent="0.2">
      <c r="A169" s="102">
        <v>6</v>
      </c>
      <c r="B169" s="106" t="s">
        <v>158</v>
      </c>
      <c r="C169" s="106" t="s">
        <v>147</v>
      </c>
      <c r="D169" s="105"/>
      <c r="E169" s="105"/>
    </row>
    <row r="170" spans="1:5" x14ac:dyDescent="0.2">
      <c r="A170" s="102">
        <v>7</v>
      </c>
      <c r="B170" s="106" t="s">
        <v>159</v>
      </c>
      <c r="C170" s="106" t="s">
        <v>148</v>
      </c>
      <c r="D170" s="105"/>
      <c r="E170" s="105"/>
    </row>
    <row r="171" spans="1:5" x14ac:dyDescent="0.2">
      <c r="A171" s="102">
        <v>8</v>
      </c>
      <c r="B171" s="106" t="s">
        <v>160</v>
      </c>
      <c r="C171" s="106" t="s">
        <v>149</v>
      </c>
      <c r="D171" s="105"/>
      <c r="E171" s="105"/>
    </row>
    <row r="172" spans="1:5" x14ac:dyDescent="0.2">
      <c r="A172" s="102">
        <v>9</v>
      </c>
      <c r="B172" s="106" t="s">
        <v>161</v>
      </c>
      <c r="C172" s="106" t="s">
        <v>150</v>
      </c>
      <c r="D172" s="105"/>
      <c r="E172" s="105"/>
    </row>
    <row r="173" spans="1:5" x14ac:dyDescent="0.2">
      <c r="A173" s="102">
        <v>10</v>
      </c>
      <c r="B173" s="102"/>
      <c r="C173" s="106" t="s">
        <v>153</v>
      </c>
      <c r="D173" s="105"/>
      <c r="E173" s="105"/>
    </row>
    <row r="174" spans="1:5" x14ac:dyDescent="0.2">
      <c r="A174" s="102">
        <v>11</v>
      </c>
      <c r="B174" s="102"/>
      <c r="C174" s="106" t="s">
        <v>154</v>
      </c>
      <c r="D174" s="105"/>
      <c r="E174" s="105"/>
    </row>
    <row r="175" spans="1:5" x14ac:dyDescent="0.2">
      <c r="A175" s="102">
        <v>12</v>
      </c>
      <c r="B175" s="102"/>
      <c r="C175" s="106" t="s">
        <v>155</v>
      </c>
      <c r="D175" s="105"/>
      <c r="E175" s="105"/>
    </row>
    <row r="176" spans="1:5" x14ac:dyDescent="0.2">
      <c r="A176" s="102">
        <v>13</v>
      </c>
      <c r="B176" s="102"/>
      <c r="C176" s="106" t="s">
        <v>156</v>
      </c>
      <c r="D176" s="105"/>
      <c r="E176" s="105"/>
    </row>
    <row r="177" spans="1:5" x14ac:dyDescent="0.2">
      <c r="A177" s="102">
        <v>14</v>
      </c>
      <c r="B177" s="102"/>
      <c r="C177" s="106" t="s">
        <v>157</v>
      </c>
      <c r="D177" s="105"/>
      <c r="E177" s="105"/>
    </row>
    <row r="178" spans="1:5" x14ac:dyDescent="0.2">
      <c r="A178" s="102">
        <v>15</v>
      </c>
      <c r="B178" s="102"/>
      <c r="C178" s="106" t="s">
        <v>164</v>
      </c>
      <c r="D178" s="105"/>
      <c r="E178" s="105"/>
    </row>
    <row r="179" spans="1:5" x14ac:dyDescent="0.2">
      <c r="A179" s="102">
        <v>16</v>
      </c>
      <c r="B179" s="102"/>
      <c r="C179" s="106" t="s">
        <v>162</v>
      </c>
      <c r="D179" s="105"/>
      <c r="E179" s="105"/>
    </row>
    <row r="180" spans="1:5" x14ac:dyDescent="0.2">
      <c r="A180" s="102">
        <v>17</v>
      </c>
      <c r="B180" s="102"/>
      <c r="C180" s="106" t="s">
        <v>163</v>
      </c>
      <c r="D180" s="105"/>
      <c r="E180" s="105"/>
    </row>
    <row r="181" spans="1:5" x14ac:dyDescent="0.2">
      <c r="A181" s="102">
        <v>18</v>
      </c>
      <c r="B181" s="102"/>
      <c r="C181" s="106" t="s">
        <v>254</v>
      </c>
      <c r="D181" s="105"/>
      <c r="E181" s="105"/>
    </row>
    <row r="182" spans="1:5" x14ac:dyDescent="0.2">
      <c r="A182" s="102">
        <v>19</v>
      </c>
      <c r="B182" s="102"/>
      <c r="C182" s="106" t="s">
        <v>255</v>
      </c>
      <c r="D182" s="105"/>
      <c r="E182" s="105"/>
    </row>
    <row r="193" spans="3:3" x14ac:dyDescent="0.2">
      <c r="C193" s="107" t="s">
        <v>28</v>
      </c>
    </row>
  </sheetData>
  <mergeCells count="7">
    <mergeCell ref="A162:E162"/>
    <mergeCell ref="A1:E1"/>
    <mergeCell ref="A2:E2"/>
    <mergeCell ref="A27:E27"/>
    <mergeCell ref="A68:E68"/>
    <mergeCell ref="A96:E96"/>
    <mergeCell ref="A124:E1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Progress Summary</vt:lpstr>
      <vt:lpstr>BACK UP S CURVE</vt:lpstr>
      <vt:lpstr>OVERALL-S-CURVE</vt:lpstr>
      <vt:lpstr>BACK SUMMARY</vt:lpstr>
      <vt:lpstr>Sheet1</vt:lpstr>
      <vt:lpstr>'BACK SUMMARY'!Print_Area</vt:lpstr>
      <vt:lpstr>'OVERALL-S-CURVE'!Print_Area</vt:lpstr>
      <vt:lpstr>'Progress Summary'!Print_Area</vt:lpstr>
      <vt:lpstr>'Progress Summary'!Print_Titles</vt:lpstr>
    </vt:vector>
  </TitlesOfParts>
  <Company>J P Kenny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kumars2</dc:creator>
  <cp:lastModifiedBy>Deepthi Pillai</cp:lastModifiedBy>
  <cp:lastPrinted>2013-06-24T13:21:45Z</cp:lastPrinted>
  <dcterms:created xsi:type="dcterms:W3CDTF">2008-07-10T04:28:34Z</dcterms:created>
  <dcterms:modified xsi:type="dcterms:W3CDTF">2013-06-25T13:55:24Z</dcterms:modified>
</cp:coreProperties>
</file>